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-Marketing/Shared Documents/Marketing/Website/Ecommerce/Template for tubes and plates/"/>
    </mc:Choice>
  </mc:AlternateContent>
  <xr:revisionPtr revIDLastSave="602" documentId="8_{E9A65A46-90ED-4C73-92CD-CB6CA9E3DB91}" xr6:coauthVersionLast="47" xr6:coauthVersionMax="47" xr10:uidLastSave="{934F833C-3E84-4A7D-9EAC-5E531C4A2937}"/>
  <workbookProtection workbookAlgorithmName="SHA-512" workbookHashValue="VKK7IPA/7O1s/AWfiDTtMrEdLFXCv6adK3j8Hf/+eGINVHDVTQT3tzZU83tddDnxXHIaiOYrqkLOBQ7Nh8ednw==" workbookSaltValue="vPnvPkouuLXxta7HNsMKWA==" workbookSpinCount="100000" lockStructure="1"/>
  <bookViews>
    <workbookView xWindow="20685" yWindow="690" windowWidth="28695" windowHeight="20055" activeTab="1" xr2:uid="{8E39038D-D485-4583-8A8C-7617E0017761}"/>
  </bookViews>
  <sheets>
    <sheet name="Instructions" sheetId="11" r:id="rId1"/>
    <sheet name="Oligo Bulk Input" sheetId="10" r:id="rId2"/>
    <sheet name="Pricing Sheet" sheetId="6" state="hidden" r:id="rId3"/>
    <sheet name="Version" sheetId="12" state="hidden" r:id="rId4"/>
  </sheets>
  <definedNames>
    <definedName name="Internal_Mod">#REF!</definedName>
    <definedName name="Mod_3_End">#REF!</definedName>
    <definedName name="Mod_5_En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0" l="1"/>
  <c r="J9" i="10"/>
  <c r="J8" i="10"/>
  <c r="J7" i="10"/>
  <c r="J6" i="10"/>
  <c r="J5" i="10"/>
  <c r="J2" i="10"/>
  <c r="F201" i="10"/>
  <c r="G201" i="10"/>
  <c r="H201" i="10"/>
  <c r="I201" i="10"/>
  <c r="J201" i="10"/>
  <c r="J200" i="10"/>
  <c r="J3" i="10"/>
  <c r="J4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F3" i="10"/>
  <c r="I14" i="10"/>
  <c r="H14" i="10"/>
  <c r="G14" i="10"/>
  <c r="F14" i="10"/>
  <c r="I13" i="10"/>
  <c r="H13" i="10"/>
  <c r="G13" i="10"/>
  <c r="F13" i="10"/>
  <c r="I12" i="10"/>
  <c r="H12" i="10"/>
  <c r="G12" i="10"/>
  <c r="F12" i="10"/>
  <c r="I11" i="10"/>
  <c r="H11" i="10"/>
  <c r="G11" i="10"/>
  <c r="F11" i="10"/>
  <c r="I10" i="10"/>
  <c r="H10" i="10"/>
  <c r="G10" i="10"/>
  <c r="F10" i="10"/>
  <c r="I9" i="10"/>
  <c r="H9" i="10"/>
  <c r="G9" i="10"/>
  <c r="F9" i="10"/>
  <c r="I8" i="10"/>
  <c r="H8" i="10"/>
  <c r="G8" i="10"/>
  <c r="F8" i="10"/>
  <c r="I7" i="10"/>
  <c r="H7" i="10"/>
  <c r="G7" i="10"/>
  <c r="F7" i="10"/>
  <c r="I6" i="10"/>
  <c r="H6" i="10"/>
  <c r="G6" i="10"/>
  <c r="F6" i="10"/>
  <c r="I5" i="10"/>
  <c r="H5" i="10"/>
  <c r="G5" i="10"/>
  <c r="F5" i="10"/>
  <c r="I4" i="10"/>
  <c r="H4" i="10"/>
  <c r="G4" i="10"/>
  <c r="F4" i="10"/>
  <c r="I3" i="10"/>
  <c r="H3" i="10"/>
  <c r="G3" i="10"/>
  <c r="I2" i="10"/>
  <c r="H2" i="10"/>
  <c r="G2" i="10"/>
  <c r="F2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F15" i="10"/>
  <c r="G15" i="10"/>
  <c r="H15" i="10"/>
  <c r="F16" i="10"/>
  <c r="G16" i="10"/>
  <c r="H16" i="10"/>
  <c r="F17" i="10"/>
  <c r="G17" i="10"/>
  <c r="H17" i="10"/>
  <c r="F18" i="10"/>
  <c r="G18" i="10"/>
  <c r="H18" i="10"/>
  <c r="F19" i="10"/>
  <c r="G19" i="10"/>
  <c r="H19" i="10"/>
  <c r="F20" i="10"/>
  <c r="G20" i="10"/>
  <c r="H20" i="10"/>
  <c r="F21" i="10"/>
  <c r="G21" i="10"/>
  <c r="H21" i="10"/>
  <c r="F22" i="10"/>
  <c r="G22" i="10"/>
  <c r="H22" i="10"/>
  <c r="F23" i="10"/>
  <c r="G23" i="10"/>
  <c r="H23" i="10"/>
  <c r="F24" i="10"/>
  <c r="G24" i="10"/>
  <c r="H24" i="10"/>
  <c r="F25" i="10"/>
  <c r="G25" i="10"/>
  <c r="H25" i="10"/>
  <c r="F26" i="10"/>
  <c r="G26" i="10"/>
  <c r="H26" i="10"/>
  <c r="F27" i="10"/>
  <c r="G27" i="10"/>
  <c r="H27" i="10"/>
  <c r="F28" i="10"/>
  <c r="G28" i="10"/>
  <c r="H28" i="10"/>
  <c r="F29" i="10"/>
  <c r="G29" i="10"/>
  <c r="H29" i="10"/>
  <c r="F30" i="10"/>
  <c r="G30" i="10"/>
  <c r="H30" i="10"/>
  <c r="F31" i="10"/>
  <c r="G31" i="10"/>
  <c r="H31" i="10"/>
  <c r="F32" i="10"/>
  <c r="G32" i="10"/>
  <c r="H32" i="10"/>
  <c r="F33" i="10"/>
  <c r="G33" i="10"/>
  <c r="H33" i="10"/>
  <c r="F34" i="10"/>
  <c r="G34" i="10"/>
  <c r="H34" i="10"/>
  <c r="F35" i="10"/>
  <c r="G35" i="10"/>
  <c r="H35" i="10"/>
  <c r="F36" i="10"/>
  <c r="G36" i="10"/>
  <c r="H36" i="10"/>
  <c r="F37" i="10"/>
  <c r="G37" i="10"/>
  <c r="H37" i="10"/>
  <c r="F38" i="10"/>
  <c r="G38" i="10"/>
  <c r="H38" i="10"/>
  <c r="F39" i="10"/>
  <c r="G39" i="10"/>
  <c r="H39" i="10"/>
  <c r="F40" i="10"/>
  <c r="G40" i="10"/>
  <c r="H40" i="10"/>
  <c r="F41" i="10"/>
  <c r="G41" i="10"/>
  <c r="H41" i="10"/>
  <c r="F42" i="10"/>
  <c r="G42" i="10"/>
  <c r="H42" i="10"/>
  <c r="F43" i="10"/>
  <c r="G43" i="10"/>
  <c r="H43" i="10"/>
  <c r="F44" i="10"/>
  <c r="G44" i="10"/>
  <c r="H44" i="10"/>
  <c r="F45" i="10"/>
  <c r="G45" i="10"/>
  <c r="H45" i="10"/>
  <c r="F46" i="10"/>
  <c r="G46" i="10"/>
  <c r="H46" i="10"/>
  <c r="F47" i="10"/>
  <c r="G47" i="10"/>
  <c r="H47" i="10"/>
  <c r="F48" i="10"/>
  <c r="G48" i="10"/>
  <c r="H48" i="10"/>
  <c r="F49" i="10"/>
  <c r="G49" i="10"/>
  <c r="H49" i="10"/>
  <c r="F50" i="10"/>
  <c r="G50" i="10"/>
  <c r="H50" i="10"/>
  <c r="F51" i="10"/>
  <c r="G51" i="10"/>
  <c r="H51" i="10"/>
  <c r="F52" i="10"/>
  <c r="G52" i="10"/>
  <c r="H52" i="10"/>
  <c r="F53" i="10"/>
  <c r="G53" i="10"/>
  <c r="H53" i="10"/>
  <c r="F54" i="10"/>
  <c r="G54" i="10"/>
  <c r="H54" i="10"/>
  <c r="F55" i="10"/>
  <c r="G55" i="10"/>
  <c r="H55" i="10"/>
  <c r="F56" i="10"/>
  <c r="G56" i="10"/>
  <c r="H56" i="10"/>
  <c r="F57" i="10"/>
  <c r="G57" i="10"/>
  <c r="H57" i="10"/>
  <c r="F58" i="10"/>
  <c r="G58" i="10"/>
  <c r="H58" i="10"/>
  <c r="F59" i="10"/>
  <c r="G59" i="10"/>
  <c r="H59" i="10"/>
  <c r="F60" i="10"/>
  <c r="G60" i="10"/>
  <c r="H60" i="10"/>
  <c r="F61" i="10"/>
  <c r="G61" i="10"/>
  <c r="H61" i="10"/>
  <c r="F62" i="10"/>
  <c r="G62" i="10"/>
  <c r="H62" i="10"/>
  <c r="F63" i="10"/>
  <c r="G63" i="10"/>
  <c r="H63" i="10"/>
  <c r="F64" i="10"/>
  <c r="G64" i="10"/>
  <c r="H64" i="10"/>
  <c r="F65" i="10"/>
  <c r="G65" i="10"/>
  <c r="H65" i="10"/>
  <c r="F66" i="10"/>
  <c r="G66" i="10"/>
  <c r="H66" i="10"/>
  <c r="F67" i="10"/>
  <c r="G67" i="10"/>
  <c r="H67" i="10"/>
  <c r="F68" i="10"/>
  <c r="G68" i="10"/>
  <c r="H68" i="10"/>
  <c r="F69" i="10"/>
  <c r="G69" i="10"/>
  <c r="H69" i="10"/>
  <c r="F70" i="10"/>
  <c r="G70" i="10"/>
  <c r="H70" i="10"/>
  <c r="F71" i="10"/>
  <c r="G71" i="10"/>
  <c r="H71" i="10"/>
  <c r="F72" i="10"/>
  <c r="G72" i="10"/>
  <c r="H72" i="10"/>
  <c r="F73" i="10"/>
  <c r="G73" i="10"/>
  <c r="H73" i="10"/>
  <c r="F74" i="10"/>
  <c r="G74" i="10"/>
  <c r="H74" i="10"/>
  <c r="F75" i="10"/>
  <c r="G75" i="10"/>
  <c r="H75" i="10"/>
  <c r="F76" i="10"/>
  <c r="G76" i="10"/>
  <c r="H76" i="10"/>
  <c r="F77" i="10"/>
  <c r="G77" i="10"/>
  <c r="H77" i="10"/>
  <c r="F78" i="10"/>
  <c r="G78" i="10"/>
  <c r="H78" i="10"/>
  <c r="F79" i="10"/>
  <c r="G79" i="10"/>
  <c r="H79" i="10"/>
  <c r="F80" i="10"/>
  <c r="G80" i="10"/>
  <c r="H80" i="10"/>
  <c r="F81" i="10"/>
  <c r="G81" i="10"/>
  <c r="H81" i="10"/>
  <c r="F82" i="10"/>
  <c r="G82" i="10"/>
  <c r="H82" i="10"/>
  <c r="F83" i="10"/>
  <c r="G83" i="10"/>
  <c r="H83" i="10"/>
  <c r="F84" i="10"/>
  <c r="G84" i="10"/>
  <c r="H84" i="10"/>
  <c r="F85" i="10"/>
  <c r="G85" i="10"/>
  <c r="H85" i="10"/>
  <c r="F86" i="10"/>
  <c r="G86" i="10"/>
  <c r="H86" i="10"/>
  <c r="F87" i="10"/>
  <c r="G87" i="10"/>
  <c r="H87" i="10"/>
  <c r="F88" i="10"/>
  <c r="G88" i="10"/>
  <c r="H88" i="10"/>
  <c r="F89" i="10"/>
  <c r="G89" i="10"/>
  <c r="H89" i="10"/>
  <c r="F90" i="10"/>
  <c r="G90" i="10"/>
  <c r="H90" i="10"/>
  <c r="F91" i="10"/>
  <c r="G91" i="10"/>
  <c r="H91" i="10"/>
  <c r="F92" i="10"/>
  <c r="G92" i="10"/>
  <c r="H92" i="10"/>
  <c r="F93" i="10"/>
  <c r="G93" i="10"/>
  <c r="H93" i="10"/>
  <c r="F94" i="10"/>
  <c r="G94" i="10"/>
  <c r="H94" i="10"/>
  <c r="F95" i="10"/>
  <c r="G95" i="10"/>
  <c r="H95" i="10"/>
  <c r="F96" i="10"/>
  <c r="G96" i="10"/>
  <c r="H96" i="10"/>
  <c r="F97" i="10"/>
  <c r="G97" i="10"/>
  <c r="H97" i="10"/>
  <c r="F98" i="10"/>
  <c r="G98" i="10"/>
  <c r="H98" i="10"/>
  <c r="F99" i="10"/>
  <c r="G99" i="10"/>
  <c r="H99" i="10"/>
  <c r="F100" i="10"/>
  <c r="G100" i="10"/>
  <c r="H100" i="10"/>
  <c r="F101" i="10"/>
  <c r="G101" i="10"/>
  <c r="H101" i="10"/>
  <c r="F102" i="10"/>
  <c r="G102" i="10"/>
  <c r="H102" i="10"/>
  <c r="F103" i="10"/>
  <c r="G103" i="10"/>
  <c r="H103" i="10"/>
  <c r="F104" i="10"/>
  <c r="G104" i="10"/>
  <c r="H104" i="10"/>
  <c r="F105" i="10"/>
  <c r="G105" i="10"/>
  <c r="H105" i="10"/>
  <c r="F106" i="10"/>
  <c r="G106" i="10"/>
  <c r="H106" i="10"/>
  <c r="F107" i="10"/>
  <c r="G107" i="10"/>
  <c r="H107" i="10"/>
  <c r="F108" i="10"/>
  <c r="G108" i="10"/>
  <c r="H108" i="10"/>
  <c r="F109" i="10"/>
  <c r="G109" i="10"/>
  <c r="H109" i="10"/>
  <c r="F110" i="10"/>
  <c r="G110" i="10"/>
  <c r="H110" i="10"/>
  <c r="F111" i="10"/>
  <c r="G111" i="10"/>
  <c r="H111" i="10"/>
  <c r="F112" i="10"/>
  <c r="G112" i="10"/>
  <c r="H112" i="10"/>
  <c r="F113" i="10"/>
  <c r="G113" i="10"/>
  <c r="H113" i="10"/>
  <c r="F114" i="10"/>
  <c r="G114" i="10"/>
  <c r="H114" i="10"/>
  <c r="F115" i="10"/>
  <c r="G115" i="10"/>
  <c r="H115" i="10"/>
  <c r="F116" i="10"/>
  <c r="G116" i="10"/>
  <c r="H116" i="10"/>
  <c r="F117" i="10"/>
  <c r="G117" i="10"/>
  <c r="H117" i="10"/>
  <c r="F118" i="10"/>
  <c r="G118" i="10"/>
  <c r="H118" i="10"/>
  <c r="F119" i="10"/>
  <c r="G119" i="10"/>
  <c r="H119" i="10"/>
  <c r="F120" i="10"/>
  <c r="G120" i="10"/>
  <c r="H120" i="10"/>
  <c r="F121" i="10"/>
  <c r="G121" i="10"/>
  <c r="H121" i="10"/>
  <c r="F122" i="10"/>
  <c r="G122" i="10"/>
  <c r="H122" i="10"/>
  <c r="F123" i="10"/>
  <c r="G123" i="10"/>
  <c r="H123" i="10"/>
  <c r="F124" i="10"/>
  <c r="G124" i="10"/>
  <c r="H124" i="10"/>
  <c r="F125" i="10"/>
  <c r="G125" i="10"/>
  <c r="H125" i="10"/>
  <c r="F126" i="10"/>
  <c r="G126" i="10"/>
  <c r="H126" i="10"/>
  <c r="F127" i="10"/>
  <c r="G127" i="10"/>
  <c r="H127" i="10"/>
  <c r="F128" i="10"/>
  <c r="G128" i="10"/>
  <c r="H128" i="10"/>
  <c r="F129" i="10"/>
  <c r="G129" i="10"/>
  <c r="H129" i="10"/>
  <c r="F130" i="10"/>
  <c r="G130" i="10"/>
  <c r="H130" i="10"/>
  <c r="F131" i="10"/>
  <c r="G131" i="10"/>
  <c r="H131" i="10"/>
  <c r="F132" i="10"/>
  <c r="G132" i="10"/>
  <c r="H132" i="10"/>
  <c r="F133" i="10"/>
  <c r="G133" i="10"/>
  <c r="H133" i="10"/>
  <c r="F134" i="10"/>
  <c r="G134" i="10"/>
  <c r="H134" i="10"/>
  <c r="F135" i="10"/>
  <c r="G135" i="10"/>
  <c r="H135" i="10"/>
  <c r="F136" i="10"/>
  <c r="G136" i="10"/>
  <c r="H136" i="10"/>
  <c r="F137" i="10"/>
  <c r="G137" i="10"/>
  <c r="H137" i="10"/>
  <c r="F138" i="10"/>
  <c r="G138" i="10"/>
  <c r="H138" i="10"/>
  <c r="F139" i="10"/>
  <c r="G139" i="10"/>
  <c r="H139" i="10"/>
  <c r="F140" i="10"/>
  <c r="G140" i="10"/>
  <c r="H140" i="10"/>
  <c r="F141" i="10"/>
  <c r="G141" i="10"/>
  <c r="H141" i="10"/>
  <c r="F142" i="10"/>
  <c r="G142" i="10"/>
  <c r="H142" i="10"/>
  <c r="F143" i="10"/>
  <c r="G143" i="10"/>
  <c r="H143" i="10"/>
  <c r="F144" i="10"/>
  <c r="G144" i="10"/>
  <c r="H144" i="10"/>
  <c r="F145" i="10"/>
  <c r="G145" i="10"/>
  <c r="H145" i="10"/>
  <c r="F146" i="10"/>
  <c r="G146" i="10"/>
  <c r="H146" i="10"/>
  <c r="F147" i="10"/>
  <c r="G147" i="10"/>
  <c r="H147" i="10"/>
  <c r="F148" i="10"/>
  <c r="G148" i="10"/>
  <c r="H148" i="10"/>
  <c r="F149" i="10"/>
  <c r="G149" i="10"/>
  <c r="H149" i="10"/>
  <c r="F150" i="10"/>
  <c r="G150" i="10"/>
  <c r="H150" i="10"/>
  <c r="F151" i="10"/>
  <c r="G151" i="10"/>
  <c r="H151" i="10"/>
  <c r="F152" i="10"/>
  <c r="G152" i="10"/>
  <c r="H152" i="10"/>
  <c r="F153" i="10"/>
  <c r="G153" i="10"/>
  <c r="H153" i="10"/>
  <c r="F154" i="10"/>
  <c r="G154" i="10"/>
  <c r="H154" i="10"/>
  <c r="F155" i="10"/>
  <c r="G155" i="10"/>
  <c r="H155" i="10"/>
  <c r="F156" i="10"/>
  <c r="G156" i="10"/>
  <c r="H156" i="10"/>
  <c r="F157" i="10"/>
  <c r="G157" i="10"/>
  <c r="H157" i="10"/>
  <c r="F158" i="10"/>
  <c r="G158" i="10"/>
  <c r="H158" i="10"/>
  <c r="F159" i="10"/>
  <c r="G159" i="10"/>
  <c r="H159" i="10"/>
  <c r="F160" i="10"/>
  <c r="G160" i="10"/>
  <c r="H160" i="10"/>
  <c r="F161" i="10"/>
  <c r="G161" i="10"/>
  <c r="H161" i="10"/>
  <c r="F162" i="10"/>
  <c r="G162" i="10"/>
  <c r="H162" i="10"/>
  <c r="F163" i="10"/>
  <c r="G163" i="10"/>
  <c r="H163" i="10"/>
  <c r="F164" i="10"/>
  <c r="G164" i="10"/>
  <c r="H164" i="10"/>
  <c r="F165" i="10"/>
  <c r="G165" i="10"/>
  <c r="H165" i="10"/>
  <c r="F166" i="10"/>
  <c r="G166" i="10"/>
  <c r="H166" i="10"/>
  <c r="F167" i="10"/>
  <c r="G167" i="10"/>
  <c r="H167" i="10"/>
  <c r="F168" i="10"/>
  <c r="G168" i="10"/>
  <c r="H168" i="10"/>
  <c r="F169" i="10"/>
  <c r="G169" i="10"/>
  <c r="H169" i="10"/>
  <c r="F170" i="10"/>
  <c r="G170" i="10"/>
  <c r="H170" i="10"/>
  <c r="F171" i="10"/>
  <c r="G171" i="10"/>
  <c r="H171" i="10"/>
  <c r="F172" i="10"/>
  <c r="G172" i="10"/>
  <c r="H172" i="10"/>
  <c r="F173" i="10"/>
  <c r="G173" i="10"/>
  <c r="H173" i="10"/>
  <c r="F174" i="10"/>
  <c r="G174" i="10"/>
  <c r="H174" i="10"/>
  <c r="F175" i="10"/>
  <c r="G175" i="10"/>
  <c r="H175" i="10"/>
  <c r="F176" i="10"/>
  <c r="G176" i="10"/>
  <c r="H176" i="10"/>
  <c r="F177" i="10"/>
  <c r="G177" i="10"/>
  <c r="H177" i="10"/>
  <c r="F178" i="10"/>
  <c r="G178" i="10"/>
  <c r="H178" i="10"/>
  <c r="F179" i="10"/>
  <c r="G179" i="10"/>
  <c r="H179" i="10"/>
  <c r="F180" i="10"/>
  <c r="G180" i="10"/>
  <c r="H180" i="10"/>
  <c r="F181" i="10"/>
  <c r="G181" i="10"/>
  <c r="H181" i="10"/>
  <c r="F182" i="10"/>
  <c r="G182" i="10"/>
  <c r="H182" i="10"/>
  <c r="F183" i="10"/>
  <c r="G183" i="10"/>
  <c r="H183" i="10"/>
  <c r="F184" i="10"/>
  <c r="G184" i="10"/>
  <c r="H184" i="10"/>
  <c r="F185" i="10"/>
  <c r="G185" i="10"/>
  <c r="H185" i="10"/>
  <c r="F186" i="10"/>
  <c r="G186" i="10"/>
  <c r="H186" i="10"/>
  <c r="F187" i="10"/>
  <c r="G187" i="10"/>
  <c r="H187" i="10"/>
  <c r="F188" i="10"/>
  <c r="G188" i="10"/>
  <c r="H188" i="10"/>
  <c r="F189" i="10"/>
  <c r="G189" i="10"/>
  <c r="H189" i="10"/>
  <c r="F190" i="10"/>
  <c r="G190" i="10"/>
  <c r="H190" i="10"/>
  <c r="F191" i="10"/>
  <c r="G191" i="10"/>
  <c r="H191" i="10"/>
  <c r="F192" i="10"/>
  <c r="G192" i="10"/>
  <c r="H192" i="10"/>
  <c r="F193" i="10"/>
  <c r="G193" i="10"/>
  <c r="H193" i="10"/>
  <c r="F194" i="10"/>
  <c r="G194" i="10"/>
  <c r="H194" i="10"/>
  <c r="F195" i="10"/>
  <c r="G195" i="10"/>
  <c r="H195" i="10"/>
  <c r="F196" i="10"/>
  <c r="G196" i="10"/>
  <c r="H196" i="10"/>
  <c r="F197" i="10"/>
  <c r="G197" i="10"/>
  <c r="H197" i="10"/>
  <c r="F198" i="10"/>
  <c r="G198" i="10"/>
  <c r="H198" i="10"/>
  <c r="F199" i="10"/>
  <c r="G199" i="10"/>
  <c r="H199" i="10"/>
  <c r="F200" i="10"/>
  <c r="G200" i="10"/>
  <c r="H200" i="10"/>
</calcChain>
</file>

<file path=xl/sharedStrings.xml><?xml version="1.0" encoding="utf-8"?>
<sst xmlns="http://schemas.openxmlformats.org/spreadsheetml/2006/main" count="662" uniqueCount="198">
  <si>
    <t>Purification</t>
  </si>
  <si>
    <t>Internal Mod</t>
  </si>
  <si>
    <t>Probe Sequence Name</t>
  </si>
  <si>
    <t>BHQ-1</t>
  </si>
  <si>
    <t>TAMRA</t>
  </si>
  <si>
    <t>BHQ-2</t>
  </si>
  <si>
    <t>(BHQ-1-dT)</t>
  </si>
  <si>
    <t>Spacer C3</t>
  </si>
  <si>
    <t>VIC</t>
  </si>
  <si>
    <t>Cy3</t>
  </si>
  <si>
    <t>Cy3.5</t>
  </si>
  <si>
    <t>Cy5</t>
  </si>
  <si>
    <t>Cy5.5</t>
  </si>
  <si>
    <t>ATTO 700</t>
  </si>
  <si>
    <t>SKU #</t>
  </si>
  <si>
    <t>5' Dye</t>
  </si>
  <si>
    <t>5'Code</t>
  </si>
  <si>
    <t>Internal Mod Code</t>
  </si>
  <si>
    <t>3' Quencher</t>
  </si>
  <si>
    <t>3'Code</t>
  </si>
  <si>
    <t>Deliverable yield nmol</t>
  </si>
  <si>
    <t>DL-FA52TA-3</t>
  </si>
  <si>
    <t>(6-FAM)</t>
  </si>
  <si>
    <t>(TAMRA)</t>
  </si>
  <si>
    <t>DL-FA52TA-10</t>
  </si>
  <si>
    <t>DL-FA52TA-30</t>
  </si>
  <si>
    <t>DL-FA52TA-70</t>
  </si>
  <si>
    <t>DL-FA52BH1-3</t>
  </si>
  <si>
    <t>(BHQ-1)</t>
  </si>
  <si>
    <t>DL-FA52BH1-10</t>
  </si>
  <si>
    <t>DL-FA52BH1-30</t>
  </si>
  <si>
    <t>DL-FA52BH1-70</t>
  </si>
  <si>
    <t>DL-FA52(TB1)C3-3</t>
  </si>
  <si>
    <t>(SpC3)</t>
  </si>
  <si>
    <t>DL-FA52(TB1)C3-10</t>
  </si>
  <si>
    <t>DL-FA52(TB1)C3-30</t>
  </si>
  <si>
    <t>DL-FA52(TB1)C3-70</t>
  </si>
  <si>
    <t>DL-FA52(TB1)BH1-3</t>
  </si>
  <si>
    <t>DL-FA52(TB1)BH1-10</t>
  </si>
  <si>
    <t>DL-FA52(TB1)BH1-30</t>
  </si>
  <si>
    <t>DL-FA52(TB1)BH1-70</t>
  </si>
  <si>
    <t>DL-FA52(TB1)TA-3</t>
  </si>
  <si>
    <t>DL-FA52(TB1)TA-10</t>
  </si>
  <si>
    <t>DL-FA52(TB1)TA-30</t>
  </si>
  <si>
    <t>DL-FA52(TB1)TA-70</t>
  </si>
  <si>
    <t>DL-TT53BH1-3</t>
  </si>
  <si>
    <t>(TET)</t>
  </si>
  <si>
    <t>DL-TT53BH1-10</t>
  </si>
  <si>
    <t>DL-TT53BH1-30</t>
  </si>
  <si>
    <t>DL-TT53BH1-70</t>
  </si>
  <si>
    <t>DL-TT53TA-3</t>
  </si>
  <si>
    <t>DL-TT53TA-10</t>
  </si>
  <si>
    <t>DL-TT53TA-30</t>
  </si>
  <si>
    <t>DL-TT53TA-70</t>
  </si>
  <si>
    <t>DL-VI55TA-3</t>
  </si>
  <si>
    <t>(5VIC)</t>
  </si>
  <si>
    <t>DL-VI55TA-10</t>
  </si>
  <si>
    <t>DL-VI55TA-30</t>
  </si>
  <si>
    <t>DL-VI55TA-70</t>
  </si>
  <si>
    <t>DL-VI55BH1-3</t>
  </si>
  <si>
    <t>DL-VI55BH1-10</t>
  </si>
  <si>
    <t>DL-VI55BH1-30</t>
  </si>
  <si>
    <t>DL-VI55BH1-70</t>
  </si>
  <si>
    <t>DL-VI55BH2-3</t>
  </si>
  <si>
    <t>(BHQ-2)</t>
  </si>
  <si>
    <t>DL-VI55BH2-10</t>
  </si>
  <si>
    <t>DL-VI55BH2-30</t>
  </si>
  <si>
    <t>DL-VI55BH2-70</t>
  </si>
  <si>
    <t>DL-HX55BH1-3</t>
  </si>
  <si>
    <t>(HEX)</t>
  </si>
  <si>
    <t>DL-HX55BH1-10</t>
  </si>
  <si>
    <t>DL-HX55BH1-30</t>
  </si>
  <si>
    <t>DL-HX55BH1-70</t>
  </si>
  <si>
    <t>DL-HX55TA-3</t>
  </si>
  <si>
    <t>DL-HX55TA-10</t>
  </si>
  <si>
    <t>DL-HX55TA-30</t>
  </si>
  <si>
    <t>DL-HX55TA-70</t>
  </si>
  <si>
    <t>DL-JO55BH1-3</t>
  </si>
  <si>
    <t>(JOE)</t>
  </si>
  <si>
    <t>DL-JO55BH1-10</t>
  </si>
  <si>
    <t>DL-JO55BH1-30</t>
  </si>
  <si>
    <t>DL-JO55BH1-70</t>
  </si>
  <si>
    <t>DL-CY3BH2-3</t>
  </si>
  <si>
    <t>(Cy3)</t>
  </si>
  <si>
    <t>DL-CY3BH2-10</t>
  </si>
  <si>
    <t>DL-CY3BH2-30</t>
  </si>
  <si>
    <t>DL-CY3BH2-70</t>
  </si>
  <si>
    <t>DL-TA58BH2-3</t>
  </si>
  <si>
    <t>DL-TA58BH2-10</t>
  </si>
  <si>
    <t>DL-TA58BH2-30</t>
  </si>
  <si>
    <t>DL-TA58BH2-70</t>
  </si>
  <si>
    <t>DL-RX60BH2-3</t>
  </si>
  <si>
    <t>(5-6ROX-N)^(C6NH2)</t>
  </si>
  <si>
    <t>DL-RX60BH2-10</t>
  </si>
  <si>
    <t>DL-RX60BH2-30</t>
  </si>
  <si>
    <t>DL-RX60BH2-70</t>
  </si>
  <si>
    <t>DL-CR61BH2-3</t>
  </si>
  <si>
    <t>(CalRed610)</t>
  </si>
  <si>
    <t>DL-CR61BH2-10</t>
  </si>
  <si>
    <t>DL-CR61BH2-30</t>
  </si>
  <si>
    <t>DL-CR61BH2-70</t>
  </si>
  <si>
    <t>DL-CY35BH2-3</t>
  </si>
  <si>
    <t>(Cy3.5)</t>
  </si>
  <si>
    <t>DL-CY35BH2-10</t>
  </si>
  <si>
    <t>DL-CY35BH2-30</t>
  </si>
  <si>
    <t>DL-CY35BH2-70</t>
  </si>
  <si>
    <t>DL-TR61BH2-3</t>
  </si>
  <si>
    <t>(TexasRed-N)^(C6NH2)</t>
  </si>
  <si>
    <t>DL-TR61BH2-10</t>
  </si>
  <si>
    <t>DL-TR61BH2-30</t>
  </si>
  <si>
    <t>DL-TR61BH2-70</t>
  </si>
  <si>
    <t>DL-CY5BH2-3</t>
  </si>
  <si>
    <t>(Cy5)</t>
  </si>
  <si>
    <t>DL-CY5BH2-10</t>
  </si>
  <si>
    <t>DL-CY5BH2-30</t>
  </si>
  <si>
    <t>DL-CY5BH2-70</t>
  </si>
  <si>
    <t>DL-CY55BH2-3</t>
  </si>
  <si>
    <t>(Cy5.5)</t>
  </si>
  <si>
    <t>DL-CY55BH2-10</t>
  </si>
  <si>
    <t>DL-CY55BH2-30</t>
  </si>
  <si>
    <t>DL-CY55BH2-70</t>
  </si>
  <si>
    <t>DL-AT70BH2-3</t>
  </si>
  <si>
    <t>(ATTO700-N)^(C6NH2)</t>
  </si>
  <si>
    <t>DL-AT70BH2-10</t>
  </si>
  <si>
    <t>DL-AT70BH2-30</t>
  </si>
  <si>
    <t>DL-AT70BH2-70</t>
  </si>
  <si>
    <t>Modification Selection</t>
  </si>
  <si>
    <t>5' Mod</t>
  </si>
  <si>
    <t>3' Mod</t>
  </si>
  <si>
    <t>Instructions</t>
  </si>
  <si>
    <t xml:space="preserve">This form is intended for the order that has more than 10 sequences of Dual-Labeled Probes delivered in separate tubes. </t>
  </si>
  <si>
    <t>1) Currently, we only offer (BHQ-1-dT) for internal mod with these pairing of 5’ and 3’ Mod options:</t>
  </si>
  <si>
    <t xml:space="preserve">5’Mod: FAM 520 </t>
  </si>
  <si>
    <t>3’Mod: Spacer C3, BHQ-1, TAMRA</t>
  </si>
  <si>
    <t>3) If your sequence is over 25 bases, we suggest placing the quencher at position 9 or 10 to minimize background noise.</t>
  </si>
  <si>
    <t xml:space="preserve">Parentheses are used to annotate internal modification. </t>
  </si>
  <si>
    <t>Delivered Amount:</t>
  </si>
  <si>
    <t>Questions?</t>
  </si>
  <si>
    <t xml:space="preserve">Any sequence that has more than 35 bases in length is considered a custom order. </t>
  </si>
  <si>
    <r>
      <t>Please</t>
    </r>
    <r>
      <rPr>
        <u/>
        <sz val="12"/>
        <color theme="7"/>
        <rFont val="Aptos Narrow"/>
        <family val="2"/>
        <scheme val="minor"/>
      </rPr>
      <t xml:space="preserve"> </t>
    </r>
    <r>
      <rPr>
        <b/>
        <u/>
        <sz val="12"/>
        <color theme="7"/>
        <rFont val="Aptos Narrow"/>
        <family val="2"/>
        <scheme val="minor"/>
      </rPr>
      <t>contact us</t>
    </r>
    <r>
      <rPr>
        <sz val="12"/>
        <color theme="1"/>
        <rFont val="Aptos Narrow"/>
        <family val="2"/>
        <scheme val="minor"/>
      </rPr>
      <t xml:space="preserve"> for custom orders.</t>
    </r>
  </si>
  <si>
    <t xml:space="preserve">2) When you select a modification pairing that has internal mod from the drop down menu, our default position is the 9th base unless you manually add the internal mod to a specific location in your sequence. See instruction below on how to manually add internal mod.  </t>
  </si>
  <si>
    <t>Building dual-labeled probes with an internal quencher/modification:</t>
  </si>
  <si>
    <r>
      <rPr>
        <b/>
        <sz val="12"/>
        <color theme="3" tint="0.249977111117893"/>
        <rFont val="Aptos Narrow"/>
        <family val="2"/>
        <scheme val="minor"/>
      </rPr>
      <t>Step 1:</t>
    </r>
    <r>
      <rPr>
        <u/>
        <sz val="12"/>
        <color theme="10"/>
        <rFont val="Aptos Narrow"/>
        <family val="2"/>
        <scheme val="minor"/>
      </rPr>
      <t xml:space="preserve"> </t>
    </r>
    <r>
      <rPr>
        <sz val="12"/>
        <rFont val="Aptos Narrow"/>
        <family val="2"/>
        <scheme val="minor"/>
      </rPr>
      <t xml:space="preserve">Enter your oligo information on the </t>
    </r>
    <r>
      <rPr>
        <b/>
        <u/>
        <sz val="12"/>
        <color theme="7"/>
        <rFont val="Aptos Narrow"/>
        <family val="2"/>
        <scheme val="minor"/>
      </rPr>
      <t>Oligo Bulk Input Sheet</t>
    </r>
  </si>
  <si>
    <r>
      <rPr>
        <b/>
        <sz val="12"/>
        <color theme="3" tint="0.249977111117893"/>
        <rFont val="Aptos Narrow"/>
        <family val="2"/>
        <scheme val="minor"/>
      </rPr>
      <t>Step 2:</t>
    </r>
    <r>
      <rPr>
        <sz val="12"/>
        <color theme="1"/>
        <rFont val="Aptos Narrow"/>
        <family val="2"/>
        <scheme val="minor"/>
      </rPr>
      <t xml:space="preserve"> Save and upload the form online</t>
    </r>
  </si>
  <si>
    <r>
      <rPr>
        <b/>
        <sz val="12"/>
        <color theme="3" tint="0.249977111117893"/>
        <rFont val="Aptos Narrow"/>
        <family val="2"/>
        <scheme val="minor"/>
      </rPr>
      <t xml:space="preserve">Step 3: </t>
    </r>
    <r>
      <rPr>
        <sz val="12"/>
        <color theme="1"/>
        <rFont val="Aptos Narrow"/>
        <family val="2"/>
        <scheme val="minor"/>
      </rPr>
      <t xml:space="preserve">The system will notify you if there are any errors from the form. Otherwise, you can add to cart and check out. </t>
    </r>
  </si>
  <si>
    <t>How to manually add an internal mod to your sequence:</t>
  </si>
  <si>
    <r>
      <t xml:space="preserve">Input Sequence 5' to 3':                                     </t>
    </r>
    <r>
      <rPr>
        <sz val="12"/>
        <color rgb="FF000000"/>
        <rFont val="Aptos Narrow"/>
        <family val="2"/>
        <scheme val="minor"/>
      </rPr>
      <t>TGACGTTACGGCCTATA</t>
    </r>
  </si>
  <si>
    <r>
      <t>Insert mod at 9th or x position</t>
    </r>
    <r>
      <rPr>
        <sz val="12"/>
        <color rgb="FF000000"/>
        <rFont val="Aptos Narrow"/>
        <family val="2"/>
        <scheme val="minor"/>
      </rPr>
      <t>:                      TGACGTTAC</t>
    </r>
    <r>
      <rPr>
        <b/>
        <sz val="12"/>
        <color rgb="FF000000"/>
        <rFont val="Aptos Narrow"/>
        <family val="2"/>
        <scheme val="minor"/>
      </rPr>
      <t>(BHQ-1-dT</t>
    </r>
    <r>
      <rPr>
        <sz val="12"/>
        <color rgb="FF000000"/>
        <rFont val="Aptos Narrow"/>
        <family val="2"/>
        <scheme val="minor"/>
      </rPr>
      <t>)GGCCTATA</t>
    </r>
  </si>
  <si>
    <t>Our pricing is based on delivered amount and not on synthesis scale, so you get exactly what you paid for.</t>
  </si>
  <si>
    <t>4) Symbols and Non-standard base(s) that are not ATCG are not allowed.</t>
  </si>
  <si>
    <t>List of changes</t>
  </si>
  <si>
    <t>Normal TE and Low TE have the same conc. Verify if there is any typo</t>
  </si>
  <si>
    <t>Delivered amount: Remove "unlike other vendors,"</t>
  </si>
  <si>
    <t xml:space="preserve"> Is normal TE what people called it or we invented?</t>
  </si>
  <si>
    <t xml:space="preserve"> non-standard base(s) (ATCG), this part is confusing.</t>
  </si>
  <si>
    <t>Dawn: This is changed to 4) Symbols and Non-standard base(s) that are not ATCG are not allowed.</t>
  </si>
  <si>
    <t>Comment</t>
  </si>
  <si>
    <t>Date</t>
  </si>
  <si>
    <t>Column D to H in input tab is not user fillable.Suggest use a different background color to differentiate it so user know they are not changing that.</t>
  </si>
  <si>
    <t>Done</t>
  </si>
  <si>
    <t>DL-CY5BBQ-3</t>
  </si>
  <si>
    <t>DL-CY5BBQ-10</t>
  </si>
  <si>
    <t>DL-CY5BBQ-30</t>
  </si>
  <si>
    <t>DL-CY5BBQ-70</t>
  </si>
  <si>
    <t>DL-CY55BBQ-3</t>
  </si>
  <si>
    <t>DL-CY55BBQ-10</t>
  </si>
  <si>
    <t>DL-CY55BBQ-30</t>
  </si>
  <si>
    <t>DL-CY55BBQ-70</t>
  </si>
  <si>
    <t>DL-AT70BBQ-3</t>
  </si>
  <si>
    <t>DL-AT70BBQ-10</t>
  </si>
  <si>
    <t>DL-AT70BBQ-30</t>
  </si>
  <si>
    <t>DL-AT70BBQ-70</t>
  </si>
  <si>
    <t>yes, there was a typo. Normal TE buffer is 1mM EDTA. Low TE Buffer is for Low EDTA which 0.1mM</t>
  </si>
  <si>
    <t>We called it that because normal TE Buffer is also known as 1X TE Buffer, while the low TE is supposed to be low EDTA</t>
  </si>
  <si>
    <t>Dawn: The background is white for non-editable cells and these columns are moved to the far right side of the sheet</t>
  </si>
  <si>
    <t>Added a tab for new version changes</t>
  </si>
  <si>
    <t>Changed BHQ-3 to BBQ-650 for 3'quencher, 3' code and the SKU code</t>
  </si>
  <si>
    <t>Sequence (5' to 3')</t>
  </si>
  <si>
    <t>Delivered Amt (nmol)</t>
  </si>
  <si>
    <t>Qty</t>
  </si>
  <si>
    <t>Formulation Options</t>
  </si>
  <si>
    <t xml:space="preserve">upload a new pricing sheet with correct order of dyes </t>
  </si>
  <si>
    <t>None</t>
  </si>
  <si>
    <r>
      <rPr>
        <b/>
        <sz val="24"/>
        <color rgb="FF000000"/>
        <rFont val="Aptos Narrow"/>
        <family val="2"/>
      </rPr>
      <t>SynOptuma™ Dual-Labeled Probe</t>
    </r>
    <r>
      <rPr>
        <b/>
        <sz val="24"/>
        <color rgb="FF000000"/>
        <rFont val="Aptos Narrow"/>
        <family val="2"/>
        <scheme val="minor"/>
      </rPr>
      <t xml:space="preserve"> Bulk Input Form</t>
    </r>
  </si>
  <si>
    <t>remove the wavelength number from the dye on the pricing sheet</t>
  </si>
  <si>
    <t>FAM</t>
  </si>
  <si>
    <t>TET</t>
  </si>
  <si>
    <t>JOE</t>
  </si>
  <si>
    <t>HEX</t>
  </si>
  <si>
    <t>ROX</t>
  </si>
  <si>
    <t>CAL Fluor Red 610</t>
  </si>
  <si>
    <t>Texas Red</t>
  </si>
  <si>
    <t>BBQ650</t>
  </si>
  <si>
    <t>(BBQ650)</t>
  </si>
  <si>
    <r>
      <rPr>
        <sz val="12"/>
        <rFont val="Aptos Narrow"/>
        <family val="2"/>
        <scheme val="minor"/>
      </rPr>
      <t>For product details and specifications, please visit</t>
    </r>
    <r>
      <rPr>
        <u/>
        <sz val="12"/>
        <color theme="10"/>
        <rFont val="Aptos Narrow"/>
        <family val="2"/>
        <scheme val="minor"/>
      </rPr>
      <t xml:space="preserve"> </t>
    </r>
    <r>
      <rPr>
        <b/>
        <u/>
        <sz val="12"/>
        <color theme="7"/>
        <rFont val="Aptos Narrow"/>
        <family val="2"/>
        <scheme val="minor"/>
      </rPr>
      <t>Dual Labeled Probes</t>
    </r>
    <r>
      <rPr>
        <u/>
        <sz val="12"/>
        <color theme="10"/>
        <rFont val="Aptos Narrow"/>
        <family val="2"/>
        <scheme val="minor"/>
      </rPr>
      <t xml:space="preserve"> </t>
    </r>
    <r>
      <rPr>
        <sz val="12"/>
        <rFont val="Aptos Narrow"/>
        <family val="2"/>
        <scheme val="minor"/>
      </rPr>
      <t>webpage for more information.</t>
    </r>
  </si>
  <si>
    <r>
      <rPr>
        <sz val="11"/>
        <color rgb="FFFF0000"/>
        <rFont val="Aptos Narrow"/>
        <family val="2"/>
        <scheme val="minor"/>
      </rPr>
      <t>**</t>
    </r>
    <r>
      <rPr>
        <sz val="11"/>
        <rFont val="Aptos Narrow"/>
        <family val="2"/>
        <scheme val="minor"/>
      </rPr>
      <t xml:space="preserve">Please refer to </t>
    </r>
    <r>
      <rPr>
        <b/>
        <u/>
        <sz val="11"/>
        <color theme="7"/>
        <rFont val="Aptos Narrow"/>
        <family val="2"/>
        <scheme val="minor"/>
      </rPr>
      <t>Product Listing page</t>
    </r>
    <r>
      <rPr>
        <u/>
        <sz val="11"/>
        <color theme="1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for the  5'Mod and 3'Mod pairing of  each SKU# under Modification Selection column on the Oligo Bulk Input Sheet.</t>
    </r>
  </si>
  <si>
    <r>
      <rPr>
        <sz val="12"/>
        <rFont val="Aptos Narrow"/>
        <family val="2"/>
        <scheme val="minor"/>
      </rPr>
      <t>Please email us at</t>
    </r>
    <r>
      <rPr>
        <b/>
        <u/>
        <sz val="12"/>
        <color theme="7"/>
        <rFont val="Aptos Narrow"/>
        <family val="2"/>
        <scheme val="minor"/>
      </rPr>
      <t xml:space="preserve"> diagnostics@synoligo.com</t>
    </r>
    <r>
      <rPr>
        <b/>
        <sz val="12"/>
        <color theme="7"/>
        <rFont val="Aptos Narrow"/>
        <family val="2"/>
        <scheme val="minor"/>
      </rPr>
      <t xml:space="preserve"> </t>
    </r>
    <r>
      <rPr>
        <sz val="12"/>
        <rFont val="Aptos Narrow"/>
        <family val="2"/>
        <scheme val="minor"/>
      </rPr>
      <t>or call +1-919-650-1014</t>
    </r>
  </si>
  <si>
    <t>added hyperlink to the product listing page and changed email address to diagnostics@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</si>
</sst>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80808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20"/>
      <color rgb="FF0B52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7"/>
      <name val="Aptos Narrow"/>
      <family val="2"/>
      <scheme val="minor"/>
    </font>
    <font>
      <b/>
      <u/>
      <sz val="12"/>
      <color theme="7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0B5293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b/>
      <sz val="24"/>
      <color rgb="FF000000"/>
      <name val="Aptos Narrow"/>
      <family val="2"/>
    </font>
    <font>
      <sz val="12"/>
      <color rgb="FFEE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u/>
      <sz val="11"/>
      <color theme="7"/>
      <name val="Aptos Narrow"/>
      <family val="2"/>
      <scheme val="minor"/>
    </font>
    <font>
      <b/>
      <sz val="12"/>
      <color theme="7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4" borderId="0" xfId="0" applyFill="1"/>
    <xf numFmtId="0" fontId="7" fillId="4" borderId="0" xfId="0" applyFont="1" applyFill="1" applyAlignment="1">
      <alignment vertical="center" readingOrder="1"/>
    </xf>
    <xf numFmtId="0" fontId="6" fillId="4" borderId="0" xfId="0" applyFont="1" applyFill="1" applyAlignment="1">
      <alignment vertical="center" readingOrder="1"/>
    </xf>
    <xf numFmtId="0" fontId="9" fillId="4" borderId="0" xfId="0" applyFont="1" applyFill="1" applyAlignment="1">
      <alignment vertical="center" readingOrder="1"/>
    </xf>
    <xf numFmtId="0" fontId="9" fillId="4" borderId="0" xfId="0" applyFont="1" applyFill="1"/>
    <xf numFmtId="0" fontId="10" fillId="4" borderId="0" xfId="1" applyFont="1" applyFill="1" applyAlignment="1">
      <alignment vertical="center" readingOrder="1"/>
    </xf>
    <xf numFmtId="0" fontId="9" fillId="4" borderId="0" xfId="0" applyFont="1" applyFill="1" applyAlignment="1">
      <alignment vertical="center" wrapText="1" readingOrder="1"/>
    </xf>
    <xf numFmtId="0" fontId="13" fillId="4" borderId="0" xfId="0" applyFont="1" applyFill="1" applyAlignment="1">
      <alignment vertical="center" readingOrder="1"/>
    </xf>
    <xf numFmtId="0" fontId="14" fillId="4" borderId="0" xfId="0" applyFont="1" applyFill="1" applyAlignment="1">
      <alignment vertical="center" readingOrder="1"/>
    </xf>
    <xf numFmtId="0" fontId="15" fillId="4" borderId="0" xfId="1" applyFont="1" applyFill="1" applyBorder="1" applyAlignment="1">
      <alignment vertical="center" readingOrder="1"/>
    </xf>
    <xf numFmtId="0" fontId="3" fillId="0" borderId="0" xfId="0" applyFont="1"/>
    <xf numFmtId="0" fontId="0" fillId="0" borderId="2" xfId="0" applyBorder="1"/>
    <xf numFmtId="0" fontId="18" fillId="4" borderId="0" xfId="0" applyFont="1" applyFill="1" applyAlignment="1">
      <alignment vertical="center" readingOrder="1"/>
    </xf>
    <xf numFmtId="0" fontId="10" fillId="4" borderId="0" xfId="0" applyFont="1" applyFill="1"/>
    <xf numFmtId="0" fontId="15" fillId="4" borderId="0" xfId="1" applyFont="1" applyFill="1" applyAlignment="1">
      <alignment wrapText="1"/>
    </xf>
    <xf numFmtId="0" fontId="9" fillId="4" borderId="0" xfId="0" applyFont="1" applyFill="1" applyAlignment="1">
      <alignment horizontal="left" vertical="center" indent="3" readingOrder="1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3" xfId="0" applyBorder="1" applyAlignment="1" applyProtection="1">
      <alignment horizontal="center"/>
      <protection locked="0"/>
    </xf>
    <xf numFmtId="14" fontId="0" fillId="0" borderId="3" xfId="0" applyNumberFormat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0" fillId="2" borderId="1" xfId="0" applyFont="1" applyFill="1" applyBorder="1"/>
    <xf numFmtId="0" fontId="19" fillId="2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15" fillId="4" borderId="0" xfId="1" applyFont="1" applyFill="1" applyAlignment="1">
      <alignment vertical="center" readingOrder="1"/>
    </xf>
    <xf numFmtId="0" fontId="8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B52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5086350</xdr:colOff>
      <xdr:row>0</xdr:row>
      <xdr:rowOff>104775</xdr:rowOff>
    </xdr:from>
    <xdr:to>
      <xdr:col>1</xdr:col>
      <xdr:colOff>7010272</xdr:colOff>
      <xdr:row>4</xdr:row>
      <xdr:rowOff>57180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CA73EA-400A-4EA6-B662-12F64F584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5950" y="104775"/>
          <a:ext cx="1923922" cy="714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synoligo.com/products/dual-labeled-probes" TargetMode="External"/><Relationship Id="rId2" Type="http://schemas.openxmlformats.org/officeDocument/2006/relationships/hyperlink" Target="mailto:diagnostics@synoligo.com" TargetMode="External"/><Relationship Id="rId1" Type="http://schemas.openxmlformats.org/officeDocument/2006/relationships/hyperlink" Target="https://synoligo.com/contact-us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shop.synoligo.com/products/dual-labeled-probes?tab=productList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DE45-0FA9-48BE-A37B-C5892DFF149A}">
  <dimension ref="A1:M50"/>
  <sheetViews>
    <sheetView workbookViewId="0">
      <selection activeCell="B36" sqref="B36:B37"/>
    </sheetView>
  </sheetViews>
  <sheetFormatPr defaultColWidth="0" defaultRowHeight="15" zeroHeight="1" x14ac:dyDescent="0.25"/>
  <cols>
    <col min="1" max="1" width="9.140625" customWidth="1"/>
    <col min="2" max="2" width="109.140625" bestFit="1" customWidth="1"/>
    <col min="3" max="3" width="9.140625" customWidth="1"/>
    <col min="4" max="13" width="0" hidden="1" customWidth="1"/>
    <col min="14" max="16384" width="9.140625" hidden="1"/>
  </cols>
  <sheetData>
    <row r="1" spans="1:1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1.5" x14ac:dyDescent="0.25">
      <c r="A6" s="3"/>
      <c r="B6" s="5" t="s">
        <v>183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6.25" x14ac:dyDescent="0.25">
      <c r="A8" s="3"/>
      <c r="B8" s="4" t="s">
        <v>129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5.75" x14ac:dyDescent="0.25">
      <c r="A9" s="3"/>
      <c r="B9" s="15" t="s">
        <v>130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5.75" x14ac:dyDescent="0.25">
      <c r="A10" s="3"/>
      <c r="B10" s="34" t="s">
        <v>194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5.75" x14ac:dyDescent="0.25">
      <c r="A11" s="3"/>
      <c r="B11" s="7" t="s">
        <v>138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5.75" x14ac:dyDescent="0.25">
      <c r="A12" s="3"/>
      <c r="B12" s="8" t="s">
        <v>139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5.75" x14ac:dyDescent="0.25">
      <c r="A14" s="3"/>
      <c r="B14" s="17" t="s">
        <v>142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30" x14ac:dyDescent="0.25">
      <c r="A15" s="3"/>
      <c r="B15" s="35" t="s">
        <v>195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5.75" x14ac:dyDescent="0.25">
      <c r="A16" s="3"/>
      <c r="B16" s="16" t="s">
        <v>143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 x14ac:dyDescent="0.25">
      <c r="A17" s="3"/>
      <c r="B17" s="16" t="s">
        <v>144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.75" x14ac:dyDescent="0.25">
      <c r="A19" s="3"/>
      <c r="B19" s="11" t="s">
        <v>141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.75" x14ac:dyDescent="0.25">
      <c r="A20" s="3"/>
      <c r="B20" s="6" t="s">
        <v>131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5.75" x14ac:dyDescent="0.25">
      <c r="A21" s="3"/>
      <c r="B21" s="18" t="s">
        <v>132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5.75" x14ac:dyDescent="0.25">
      <c r="A22" s="3"/>
      <c r="B22" s="18" t="s">
        <v>133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47.25" x14ac:dyDescent="0.25">
      <c r="A23" s="3"/>
      <c r="B23" s="9" t="s">
        <v>140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5.75" x14ac:dyDescent="0.25">
      <c r="A24" s="3"/>
      <c r="B24" s="6" t="s">
        <v>134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5.75" x14ac:dyDescent="0.25">
      <c r="A25" s="3"/>
      <c r="B25" s="6" t="s">
        <v>149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8.75" x14ac:dyDescent="0.25">
      <c r="A27" s="3"/>
      <c r="B27" s="11" t="s">
        <v>145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.75" x14ac:dyDescent="0.25">
      <c r="A28" s="3"/>
      <c r="B28" s="6" t="s">
        <v>135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5.75" x14ac:dyDescent="0.25">
      <c r="A29" s="3"/>
      <c r="B29" s="10" t="s">
        <v>146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.75" x14ac:dyDescent="0.25">
      <c r="A30" s="3"/>
      <c r="B30" s="10" t="s">
        <v>147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8.75" x14ac:dyDescent="0.25">
      <c r="A32" s="3"/>
      <c r="B32" s="1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8.75" x14ac:dyDescent="0.25">
      <c r="A33" s="3"/>
      <c r="B33" s="11" t="s">
        <v>136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.75" x14ac:dyDescent="0.25">
      <c r="A34" s="3"/>
      <c r="B34" s="6" t="s">
        <v>148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8.75" x14ac:dyDescent="0.25">
      <c r="A36" s="3"/>
      <c r="B36" s="11" t="s">
        <v>137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.75" x14ac:dyDescent="0.25">
      <c r="A37" s="3"/>
      <c r="B37" s="12" t="s">
        <v>196</v>
      </c>
      <c r="C37" s="3"/>
    </row>
    <row r="38" spans="1:13" s="14" customFormat="1" x14ac:dyDescent="0.25">
      <c r="A38" s="3"/>
      <c r="B38" s="3"/>
      <c r="C38" s="3"/>
    </row>
    <row r="39" spans="1:13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idden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idden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idden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idden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idden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idden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idden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idden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idden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idden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</sheetData>
  <hyperlinks>
    <hyperlink ref="B12" r:id="rId1" xr:uid="{1BAD6E02-42FB-49B6-B5BB-F915B31E084D}"/>
    <hyperlink ref="B37" r:id="rId2" tooltip="Click to email oligosales@synoligo.com" xr:uid="{DF65E0F0-F358-4635-AAE0-71DFFCDC40C3}"/>
    <hyperlink ref="B14" location="'Oligo Bulk Input'!A2" tooltip="Click to go the Oligo Bulk Input Sheet" display="Step 1: Enter your oligo information on the Oligo Bulk Input Sheet" xr:uid="{BD7C1F1E-6579-477D-8275-2E6F4D9F9CF1}"/>
    <hyperlink ref="B10" r:id="rId3" xr:uid="{354FFB82-74DB-4381-910B-2353169CDDB4}"/>
    <hyperlink ref="B15" r:id="rId4" xr:uid="{57C26F9F-D5D3-4432-A7AA-4A5A8C3E4E22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212C-EAE0-464E-B9FB-8A35B0AEDBF7}">
  <dimension ref="A1:P2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defaultColWidth="0" defaultRowHeight="15" zeroHeight="1" x14ac:dyDescent="0.25"/>
  <cols>
    <col min="1" max="1" width="22.5703125" style="26" bestFit="1" customWidth="1"/>
    <col min="2" max="2" width="72.85546875" style="26" customWidth="1"/>
    <col min="3" max="3" width="22.42578125" style="26" bestFit="1" customWidth="1"/>
    <col min="4" max="4" width="27.42578125" style="26" bestFit="1" customWidth="1"/>
    <col min="5" max="5" width="9" style="24" bestFit="1" customWidth="1"/>
    <col min="6" max="6" width="19.7109375" style="31" customWidth="1"/>
    <col min="7" max="7" width="14.140625" style="31" bestFit="1" customWidth="1"/>
    <col min="8" max="8" width="14.28515625" style="31" bestFit="1" customWidth="1"/>
    <col min="9" max="9" width="24.140625" style="31" bestFit="1" customWidth="1"/>
    <col min="10" max="10" width="22" style="31" customWidth="1"/>
    <col min="11" max="16" width="0" hidden="1" customWidth="1"/>
    <col min="17" max="16384" width="9.140625" hidden="1"/>
  </cols>
  <sheetData>
    <row r="1" spans="1:10" s="28" customFormat="1" ht="15.75" x14ac:dyDescent="0.25">
      <c r="A1" s="29" t="s">
        <v>2</v>
      </c>
      <c r="B1" s="29" t="s">
        <v>177</v>
      </c>
      <c r="C1" s="29" t="s">
        <v>126</v>
      </c>
      <c r="D1" s="29" t="s">
        <v>180</v>
      </c>
      <c r="E1" s="29" t="s">
        <v>179</v>
      </c>
      <c r="F1" s="30" t="s">
        <v>127</v>
      </c>
      <c r="G1" s="30" t="s">
        <v>1</v>
      </c>
      <c r="H1" s="30" t="s">
        <v>128</v>
      </c>
      <c r="I1" s="30" t="s">
        <v>178</v>
      </c>
      <c r="J1" s="30" t="s">
        <v>0</v>
      </c>
    </row>
    <row r="2" spans="1:10" x14ac:dyDescent="0.25">
      <c r="F2" s="31" t="str">
        <f>IF(C2="", "", VLOOKUP(C2, 'Pricing Sheet'!A:G, 2, FALSE))</f>
        <v/>
      </c>
      <c r="G2" s="31" t="str">
        <f>IF(C2="","",VLOOKUP(C2,'Pricing Sheet'!A:G,4,FALSE))</f>
        <v/>
      </c>
      <c r="H2" s="31" t="str">
        <f>IF(C2="","",VLOOKUP(C2,'Pricing Sheet'!A:G,5,FALSE))</f>
        <v/>
      </c>
      <c r="I2" s="31" t="str">
        <f>IF(C2="","",VLOOKUP(C2,'Pricing Sheet'!A:G,7,FALSE))</f>
        <v/>
      </c>
      <c r="J2" s="31" t="str">
        <f>IF(B2="", "", "HPLC Purified")</f>
        <v/>
      </c>
    </row>
    <row r="3" spans="1:10" x14ac:dyDescent="0.25">
      <c r="F3" s="31" t="str">
        <f>IF(C3="", "", VLOOKUP(C3, 'Pricing Sheet'!A:G, 2, FALSE))</f>
        <v/>
      </c>
      <c r="G3" s="31" t="str">
        <f>IF(C3="","",VLOOKUP(C3,'Pricing Sheet'!A:G,4,FALSE))</f>
        <v/>
      </c>
      <c r="H3" s="31" t="str">
        <f>IF(C3="","",VLOOKUP(C3,'Pricing Sheet'!A:G,5,FALSE))</f>
        <v/>
      </c>
      <c r="I3" s="31" t="str">
        <f>IF(C3="","",VLOOKUP(C3,'Pricing Sheet'!A:G,7,FALSE))</f>
        <v/>
      </c>
      <c r="J3" s="31" t="str">
        <f t="shared" ref="J3:J66" si="0">IF(B3="", "", "HPLC Purified")</f>
        <v/>
      </c>
    </row>
    <row r="4" spans="1:10" x14ac:dyDescent="0.25">
      <c r="F4" s="31" t="str">
        <f>IF(C4="", "", VLOOKUP(C4, 'Pricing Sheet'!A:G, 2, FALSE))</f>
        <v/>
      </c>
      <c r="G4" s="31" t="str">
        <f>IF(C4="","",VLOOKUP(C4,'Pricing Sheet'!A:G,4,FALSE))</f>
        <v/>
      </c>
      <c r="H4" s="31" t="str">
        <f>IF(C4="","",VLOOKUP(C4,'Pricing Sheet'!A:G,5,FALSE))</f>
        <v/>
      </c>
      <c r="I4" s="31" t="str">
        <f>IF(C4="","",VLOOKUP(C4,'Pricing Sheet'!A:G,7,FALSE))</f>
        <v/>
      </c>
      <c r="J4" s="31" t="str">
        <f t="shared" si="0"/>
        <v/>
      </c>
    </row>
    <row r="5" spans="1:10" x14ac:dyDescent="0.25">
      <c r="F5" s="31" t="str">
        <f>IF(C5="", "", VLOOKUP(C5, 'Pricing Sheet'!A:G, 2, FALSE))</f>
        <v/>
      </c>
      <c r="G5" s="31" t="str">
        <f>IF(C5="","",VLOOKUP(C5,'Pricing Sheet'!A:G,4,FALSE))</f>
        <v/>
      </c>
      <c r="H5" s="31" t="str">
        <f>IF(C5="","",VLOOKUP(C5,'Pricing Sheet'!A:G,5,FALSE))</f>
        <v/>
      </c>
      <c r="I5" s="31" t="str">
        <f>IF(C5="","",VLOOKUP(C5,'Pricing Sheet'!A:G,7,FALSE))</f>
        <v/>
      </c>
      <c r="J5" s="31" t="str">
        <f t="shared" si="0"/>
        <v/>
      </c>
    </row>
    <row r="6" spans="1:10" x14ac:dyDescent="0.25">
      <c r="F6" s="31" t="str">
        <f>IF(C6="", "", VLOOKUP(C6, 'Pricing Sheet'!A:G, 2, FALSE))</f>
        <v/>
      </c>
      <c r="G6" s="31" t="str">
        <f>IF(C6="","",VLOOKUP(C6,'Pricing Sheet'!A:G,4,FALSE))</f>
        <v/>
      </c>
      <c r="H6" s="31" t="str">
        <f>IF(C6="","",VLOOKUP(C6,'Pricing Sheet'!A:G,5,FALSE))</f>
        <v/>
      </c>
      <c r="I6" s="31" t="str">
        <f>IF(C6="","",VLOOKUP(C6,'Pricing Sheet'!A:G,7,FALSE))</f>
        <v/>
      </c>
      <c r="J6" s="31" t="str">
        <f t="shared" si="0"/>
        <v/>
      </c>
    </row>
    <row r="7" spans="1:10" x14ac:dyDescent="0.25">
      <c r="F7" s="31" t="str">
        <f>IF(C7="", "", VLOOKUP(C7, 'Pricing Sheet'!A:G, 2, FALSE))</f>
        <v/>
      </c>
      <c r="G7" s="31" t="str">
        <f>IF(C7="","",VLOOKUP(C7,'Pricing Sheet'!A:G,4,FALSE))</f>
        <v/>
      </c>
      <c r="H7" s="31" t="str">
        <f>IF(C7="","",VLOOKUP(C7,'Pricing Sheet'!A:G,5,FALSE))</f>
        <v/>
      </c>
      <c r="I7" s="31" t="str">
        <f>IF(C7="","",VLOOKUP(C7,'Pricing Sheet'!A:G,7,FALSE))</f>
        <v/>
      </c>
      <c r="J7" s="31" t="str">
        <f t="shared" si="0"/>
        <v/>
      </c>
    </row>
    <row r="8" spans="1:10" x14ac:dyDescent="0.25">
      <c r="F8" s="31" t="str">
        <f>IF(C8="", "", VLOOKUP(C8, 'Pricing Sheet'!A:G, 2, FALSE))</f>
        <v/>
      </c>
      <c r="G8" s="31" t="str">
        <f>IF(C8="","",VLOOKUP(C8,'Pricing Sheet'!A:G,4,FALSE))</f>
        <v/>
      </c>
      <c r="H8" s="31" t="str">
        <f>IF(C8="","",VLOOKUP(C8,'Pricing Sheet'!A:G,5,FALSE))</f>
        <v/>
      </c>
      <c r="I8" s="31" t="str">
        <f>IF(C8="","",VLOOKUP(C8,'Pricing Sheet'!A:G,7,FALSE))</f>
        <v/>
      </c>
      <c r="J8" s="31" t="str">
        <f t="shared" si="0"/>
        <v/>
      </c>
    </row>
    <row r="9" spans="1:10" x14ac:dyDescent="0.25">
      <c r="C9" s="27"/>
      <c r="F9" s="31" t="str">
        <f>IF(C9="", "", VLOOKUP(C9, 'Pricing Sheet'!A:G, 2, FALSE))</f>
        <v/>
      </c>
      <c r="G9" s="31" t="str">
        <f>IF(C9="","",VLOOKUP(C9,'Pricing Sheet'!A:G,4,FALSE))</f>
        <v/>
      </c>
      <c r="H9" s="31" t="str">
        <f>IF(C9="","",VLOOKUP(C9,'Pricing Sheet'!A:G,5,FALSE))</f>
        <v/>
      </c>
      <c r="I9" s="31" t="str">
        <f>IF(C9="","",VLOOKUP(C9,'Pricing Sheet'!A:G,7,FALSE))</f>
        <v/>
      </c>
      <c r="J9" s="31" t="str">
        <f t="shared" si="0"/>
        <v/>
      </c>
    </row>
    <row r="10" spans="1:10" x14ac:dyDescent="0.25">
      <c r="C10" s="27"/>
      <c r="F10" s="31" t="str">
        <f>IF(C10="", "", VLOOKUP(C10, 'Pricing Sheet'!A:G, 2, FALSE))</f>
        <v/>
      </c>
      <c r="G10" s="31" t="str">
        <f>IF(C10="","",VLOOKUP(C10,'Pricing Sheet'!A:G,4,FALSE))</f>
        <v/>
      </c>
      <c r="H10" s="31" t="str">
        <f>IF(C10="","",VLOOKUP(C10,'Pricing Sheet'!A:G,5,FALSE))</f>
        <v/>
      </c>
      <c r="I10" s="31" t="str">
        <f>IF(C10="","",VLOOKUP(C10,'Pricing Sheet'!A:G,7,FALSE))</f>
        <v/>
      </c>
      <c r="J10" s="31" t="str">
        <f t="shared" si="0"/>
        <v/>
      </c>
    </row>
    <row r="11" spans="1:10" x14ac:dyDescent="0.25">
      <c r="F11" s="31" t="str">
        <f>IF(C11="", "", VLOOKUP(C11, 'Pricing Sheet'!A:G, 2, FALSE))</f>
        <v/>
      </c>
      <c r="G11" s="31" t="str">
        <f>IF(C11="","",VLOOKUP(C11,'Pricing Sheet'!A:G,4,FALSE))</f>
        <v/>
      </c>
      <c r="H11" s="31" t="str">
        <f>IF(C11="","",VLOOKUP(C11,'Pricing Sheet'!A:G,5,FALSE))</f>
        <v/>
      </c>
      <c r="I11" s="31" t="str">
        <f>IF(C11="","",VLOOKUP(C11,'Pricing Sheet'!A:G,7,FALSE))</f>
        <v/>
      </c>
      <c r="J11" s="31" t="str">
        <f t="shared" si="0"/>
        <v/>
      </c>
    </row>
    <row r="12" spans="1:10" x14ac:dyDescent="0.25">
      <c r="F12" s="31" t="str">
        <f>IF(C12="", "", VLOOKUP(C12, 'Pricing Sheet'!A:G, 2, FALSE))</f>
        <v/>
      </c>
      <c r="G12" s="31" t="str">
        <f>IF(C12="","",VLOOKUP(C12,'Pricing Sheet'!A:G,4,FALSE))</f>
        <v/>
      </c>
      <c r="H12" s="31" t="str">
        <f>IF(C12="","",VLOOKUP(C12,'Pricing Sheet'!A:G,5,FALSE))</f>
        <v/>
      </c>
      <c r="I12" s="31" t="str">
        <f>IF(C12="","",VLOOKUP(C12,'Pricing Sheet'!A:G,7,FALSE))</f>
        <v/>
      </c>
      <c r="J12" s="31" t="str">
        <f t="shared" si="0"/>
        <v/>
      </c>
    </row>
    <row r="13" spans="1:10" x14ac:dyDescent="0.25">
      <c r="F13" s="31" t="str">
        <f>IF(C13="", "", VLOOKUP(C13, 'Pricing Sheet'!A:G, 2, FALSE))</f>
        <v/>
      </c>
      <c r="G13" s="31" t="str">
        <f>IF(C13="","",VLOOKUP(C13,'Pricing Sheet'!A:G,4,FALSE))</f>
        <v/>
      </c>
      <c r="H13" s="31" t="str">
        <f>IF(C13="","",VLOOKUP(C13,'Pricing Sheet'!A:G,5,FALSE))</f>
        <v/>
      </c>
      <c r="I13" s="31" t="str">
        <f>IF(C13="","",VLOOKUP(C13,'Pricing Sheet'!A:G,7,FALSE))</f>
        <v/>
      </c>
      <c r="J13" s="31" t="str">
        <f t="shared" si="0"/>
        <v/>
      </c>
    </row>
    <row r="14" spans="1:10" x14ac:dyDescent="0.25">
      <c r="F14" s="31" t="str">
        <f>IF(C14="", "", VLOOKUP(C14, 'Pricing Sheet'!A:G, 2, FALSE))</f>
        <v/>
      </c>
      <c r="G14" s="31" t="str">
        <f>IF(C14="","",VLOOKUP(C14,'Pricing Sheet'!A:G,4,FALSE))</f>
        <v/>
      </c>
      <c r="H14" s="31" t="str">
        <f>IF(C14="","",VLOOKUP(C14,'Pricing Sheet'!A:G,5,FALSE))</f>
        <v/>
      </c>
      <c r="I14" s="31" t="str">
        <f>IF(C14="","",VLOOKUP(C14,'Pricing Sheet'!A:G,7,FALSE))</f>
        <v/>
      </c>
      <c r="J14" s="31" t="str">
        <f t="shared" si="0"/>
        <v/>
      </c>
    </row>
    <row r="15" spans="1:10" x14ac:dyDescent="0.25">
      <c r="F15" s="31" t="str">
        <f>IF(C15="", "", VLOOKUP(C15, 'Pricing Sheet'!A:G, 2, FALSE))</f>
        <v/>
      </c>
      <c r="G15" s="31" t="str">
        <f>IF(C15="","",VLOOKUP(C15,'Pricing Sheet'!A:G,4,FALSE))</f>
        <v/>
      </c>
      <c r="H15" s="31" t="str">
        <f>IF(C15="","",VLOOKUP(C15,'Pricing Sheet'!A:G,5,FALSE))</f>
        <v/>
      </c>
      <c r="I15" s="31" t="str">
        <f>IF(C15="","",VLOOKUP(C15,'Pricing Sheet'!A:G,7,FALSE))</f>
        <v/>
      </c>
      <c r="J15" s="31" t="str">
        <f t="shared" si="0"/>
        <v/>
      </c>
    </row>
    <row r="16" spans="1:10" x14ac:dyDescent="0.25">
      <c r="F16" s="31" t="str">
        <f>IF(C16="", "", VLOOKUP(C16, 'Pricing Sheet'!A:G, 2, FALSE))</f>
        <v/>
      </c>
      <c r="G16" s="31" t="str">
        <f>IF(C16="","",VLOOKUP(C16,'Pricing Sheet'!A:G,4,FALSE))</f>
        <v/>
      </c>
      <c r="H16" s="31" t="str">
        <f>IF(C16="","",VLOOKUP(C16,'Pricing Sheet'!A:G,5,FALSE))</f>
        <v/>
      </c>
      <c r="I16" s="31" t="str">
        <f>IF(C16="","",VLOOKUP(C16,'Pricing Sheet'!A:G,7,FALSE))</f>
        <v/>
      </c>
      <c r="J16" s="31" t="str">
        <f t="shared" si="0"/>
        <v/>
      </c>
    </row>
    <row r="17" spans="6:10" x14ac:dyDescent="0.25">
      <c r="F17" s="31" t="str">
        <f>IF(C17="", "", VLOOKUP(C17, 'Pricing Sheet'!A:G, 2, FALSE))</f>
        <v/>
      </c>
      <c r="G17" s="31" t="str">
        <f>IF(C17="","",VLOOKUP(C17,'Pricing Sheet'!A:G,4,FALSE))</f>
        <v/>
      </c>
      <c r="H17" s="31" t="str">
        <f>IF(C17="","",VLOOKUP(C17,'Pricing Sheet'!A:G,5,FALSE))</f>
        <v/>
      </c>
      <c r="I17" s="31" t="str">
        <f>IF(C17="","",VLOOKUP(C17,'Pricing Sheet'!A:G,7,FALSE))</f>
        <v/>
      </c>
      <c r="J17" s="31" t="str">
        <f t="shared" si="0"/>
        <v/>
      </c>
    </row>
    <row r="18" spans="6:10" x14ac:dyDescent="0.25">
      <c r="F18" s="31" t="str">
        <f>IF(C18="", "", VLOOKUP(C18, 'Pricing Sheet'!A:G, 2, FALSE))</f>
        <v/>
      </c>
      <c r="G18" s="31" t="str">
        <f>IF(C18="","",VLOOKUP(C18,'Pricing Sheet'!A:G,4,FALSE))</f>
        <v/>
      </c>
      <c r="H18" s="31" t="str">
        <f>IF(C18="","",VLOOKUP(C18,'Pricing Sheet'!A:G,5,FALSE))</f>
        <v/>
      </c>
      <c r="I18" s="31" t="str">
        <f>IF(C18="","",VLOOKUP(C18,'Pricing Sheet'!A:G,7,FALSE))</f>
        <v/>
      </c>
      <c r="J18" s="31" t="str">
        <f t="shared" si="0"/>
        <v/>
      </c>
    </row>
    <row r="19" spans="6:10" x14ac:dyDescent="0.25">
      <c r="F19" s="31" t="str">
        <f>IF(C19="", "", VLOOKUP(C19, 'Pricing Sheet'!A:G, 2, FALSE))</f>
        <v/>
      </c>
      <c r="G19" s="31" t="str">
        <f>IF(C19="","",VLOOKUP(C19,'Pricing Sheet'!A:G,4,FALSE))</f>
        <v/>
      </c>
      <c r="H19" s="31" t="str">
        <f>IF(C19="","",VLOOKUP(C19,'Pricing Sheet'!A:G,5,FALSE))</f>
        <v/>
      </c>
      <c r="I19" s="31" t="str">
        <f>IF(C19="","",VLOOKUP(C19,'Pricing Sheet'!A:G,7,FALSE))</f>
        <v/>
      </c>
      <c r="J19" s="31" t="str">
        <f t="shared" si="0"/>
        <v/>
      </c>
    </row>
    <row r="20" spans="6:10" x14ac:dyDescent="0.25">
      <c r="F20" s="31" t="str">
        <f>IF(C20="", "", VLOOKUP(C20, 'Pricing Sheet'!A:G, 2, FALSE))</f>
        <v/>
      </c>
      <c r="G20" s="31" t="str">
        <f>IF(C20="","",VLOOKUP(C20,'Pricing Sheet'!A:G,4,FALSE))</f>
        <v/>
      </c>
      <c r="H20" s="31" t="str">
        <f>IF(C20="","",VLOOKUP(C20,'Pricing Sheet'!A:G,5,FALSE))</f>
        <v/>
      </c>
      <c r="I20" s="31" t="str">
        <f>IF(C20="","",VLOOKUP(C20,'Pricing Sheet'!A:G,7,FALSE))</f>
        <v/>
      </c>
      <c r="J20" s="31" t="str">
        <f t="shared" si="0"/>
        <v/>
      </c>
    </row>
    <row r="21" spans="6:10" x14ac:dyDescent="0.25">
      <c r="F21" s="31" t="str">
        <f>IF(C21="", "", VLOOKUP(C21, 'Pricing Sheet'!A:G, 2, FALSE))</f>
        <v/>
      </c>
      <c r="G21" s="31" t="str">
        <f>IF(C21="","",VLOOKUP(C21,'Pricing Sheet'!A:G,4,FALSE))</f>
        <v/>
      </c>
      <c r="H21" s="31" t="str">
        <f>IF(C21="","",VLOOKUP(C21,'Pricing Sheet'!A:G,5,FALSE))</f>
        <v/>
      </c>
      <c r="I21" s="31" t="str">
        <f>IF(C21="","",VLOOKUP(C21,'Pricing Sheet'!A:G,7,FALSE))</f>
        <v/>
      </c>
      <c r="J21" s="31" t="str">
        <f t="shared" si="0"/>
        <v/>
      </c>
    </row>
    <row r="22" spans="6:10" x14ac:dyDescent="0.25">
      <c r="F22" s="31" t="str">
        <f>IF(C22="", "", VLOOKUP(C22, 'Pricing Sheet'!A:G, 2, FALSE))</f>
        <v/>
      </c>
      <c r="G22" s="31" t="str">
        <f>IF(C22="","",VLOOKUP(C22,'Pricing Sheet'!A:G,4,FALSE))</f>
        <v/>
      </c>
      <c r="H22" s="31" t="str">
        <f>IF(C22="","",VLOOKUP(C22,'Pricing Sheet'!A:G,5,FALSE))</f>
        <v/>
      </c>
      <c r="I22" s="31" t="str">
        <f>IF(C22="","",VLOOKUP(C22,'Pricing Sheet'!A:G,7,FALSE))</f>
        <v/>
      </c>
      <c r="J22" s="31" t="str">
        <f t="shared" si="0"/>
        <v/>
      </c>
    </row>
    <row r="23" spans="6:10" x14ac:dyDescent="0.25">
      <c r="F23" s="31" t="str">
        <f>IF(C23="", "", VLOOKUP(C23, 'Pricing Sheet'!A:G, 2, FALSE))</f>
        <v/>
      </c>
      <c r="G23" s="31" t="str">
        <f>IF(C23="","",VLOOKUP(C23,'Pricing Sheet'!A:G,4,FALSE))</f>
        <v/>
      </c>
      <c r="H23" s="31" t="str">
        <f>IF(C23="","",VLOOKUP(C23,'Pricing Sheet'!A:G,5,FALSE))</f>
        <v/>
      </c>
      <c r="I23" s="31" t="str">
        <f>IF(C23="","",VLOOKUP(C23,'Pricing Sheet'!A:G,7,FALSE))</f>
        <v/>
      </c>
      <c r="J23" s="31" t="str">
        <f t="shared" si="0"/>
        <v/>
      </c>
    </row>
    <row r="24" spans="6:10" x14ac:dyDescent="0.25">
      <c r="F24" s="31" t="str">
        <f>IF(C24="", "", VLOOKUP(C24, 'Pricing Sheet'!A:G, 2, FALSE))</f>
        <v/>
      </c>
      <c r="G24" s="31" t="str">
        <f>IF(C24="","",VLOOKUP(C24,'Pricing Sheet'!A:G,4,FALSE))</f>
        <v/>
      </c>
      <c r="H24" s="31" t="str">
        <f>IF(C24="","",VLOOKUP(C24,'Pricing Sheet'!A:G,5,FALSE))</f>
        <v/>
      </c>
      <c r="I24" s="31" t="str">
        <f>IF(C24="","",VLOOKUP(C24,'Pricing Sheet'!A:G,7,FALSE))</f>
        <v/>
      </c>
      <c r="J24" s="31" t="str">
        <f t="shared" si="0"/>
        <v/>
      </c>
    </row>
    <row r="25" spans="6:10" x14ac:dyDescent="0.25">
      <c r="F25" s="31" t="str">
        <f>IF(C25="", "", VLOOKUP(C25, 'Pricing Sheet'!A:G, 2, FALSE))</f>
        <v/>
      </c>
      <c r="G25" s="31" t="str">
        <f>IF(C25="","",VLOOKUP(C25,'Pricing Sheet'!A:G,4,FALSE))</f>
        <v/>
      </c>
      <c r="H25" s="31" t="str">
        <f>IF(C25="","",VLOOKUP(C25,'Pricing Sheet'!A:G,5,FALSE))</f>
        <v/>
      </c>
      <c r="I25" s="31" t="str">
        <f>IF(C25="","",VLOOKUP(C25,'Pricing Sheet'!A:G,7,FALSE))</f>
        <v/>
      </c>
      <c r="J25" s="31" t="str">
        <f t="shared" si="0"/>
        <v/>
      </c>
    </row>
    <row r="26" spans="6:10" x14ac:dyDescent="0.25">
      <c r="F26" s="31" t="str">
        <f>IF(C26="", "", VLOOKUP(C26, 'Pricing Sheet'!A:G, 2, FALSE))</f>
        <v/>
      </c>
      <c r="G26" s="31" t="str">
        <f>IF(C26="","",VLOOKUP(C26,'Pricing Sheet'!A:G,4,FALSE))</f>
        <v/>
      </c>
      <c r="H26" s="31" t="str">
        <f>IF(C26="","",VLOOKUP(C26,'Pricing Sheet'!A:G,5,FALSE))</f>
        <v/>
      </c>
      <c r="I26" s="31" t="str">
        <f>IF(C26="","",VLOOKUP(C26,'Pricing Sheet'!A:G,7,FALSE))</f>
        <v/>
      </c>
      <c r="J26" s="31" t="str">
        <f t="shared" si="0"/>
        <v/>
      </c>
    </row>
    <row r="27" spans="6:10" x14ac:dyDescent="0.25">
      <c r="F27" s="31" t="str">
        <f>IF(C27="", "", VLOOKUP(C27, 'Pricing Sheet'!A:G, 2, FALSE))</f>
        <v/>
      </c>
      <c r="G27" s="31" t="str">
        <f>IF(C27="","",VLOOKUP(C27,'Pricing Sheet'!A:G,4,FALSE))</f>
        <v/>
      </c>
      <c r="H27" s="31" t="str">
        <f>IF(C27="","",VLOOKUP(C27,'Pricing Sheet'!A:G,5,FALSE))</f>
        <v/>
      </c>
      <c r="I27" s="31" t="str">
        <f>IF(C27="","",VLOOKUP(C27,'Pricing Sheet'!A:G,7,FALSE))</f>
        <v/>
      </c>
      <c r="J27" s="31" t="str">
        <f t="shared" si="0"/>
        <v/>
      </c>
    </row>
    <row r="28" spans="6:10" x14ac:dyDescent="0.25">
      <c r="F28" s="31" t="str">
        <f>IF(C28="", "", VLOOKUP(C28, 'Pricing Sheet'!A:G, 2, FALSE))</f>
        <v/>
      </c>
      <c r="G28" s="31" t="str">
        <f>IF(C28="","",VLOOKUP(C28,'Pricing Sheet'!A:G,4,FALSE))</f>
        <v/>
      </c>
      <c r="H28" s="31" t="str">
        <f>IF(C28="","",VLOOKUP(C28,'Pricing Sheet'!A:G,5,FALSE))</f>
        <v/>
      </c>
      <c r="I28" s="31" t="str">
        <f>IF(C28="","",VLOOKUP(C28,'Pricing Sheet'!A:G,7,FALSE))</f>
        <v/>
      </c>
      <c r="J28" s="31" t="str">
        <f t="shared" si="0"/>
        <v/>
      </c>
    </row>
    <row r="29" spans="6:10" x14ac:dyDescent="0.25">
      <c r="F29" s="31" t="str">
        <f>IF(C29="", "", VLOOKUP(C29, 'Pricing Sheet'!A:G, 2, FALSE))</f>
        <v/>
      </c>
      <c r="G29" s="31" t="str">
        <f>IF(C29="","",VLOOKUP(C29,'Pricing Sheet'!A:G,4,FALSE))</f>
        <v/>
      </c>
      <c r="H29" s="31" t="str">
        <f>IF(C29="","",VLOOKUP(C29,'Pricing Sheet'!A:G,5,FALSE))</f>
        <v/>
      </c>
      <c r="I29" s="31" t="str">
        <f>IF(C29="","",VLOOKUP(C29,'Pricing Sheet'!A:G,7,FALSE))</f>
        <v/>
      </c>
      <c r="J29" s="31" t="str">
        <f t="shared" si="0"/>
        <v/>
      </c>
    </row>
    <row r="30" spans="6:10" x14ac:dyDescent="0.25">
      <c r="F30" s="31" t="str">
        <f>IF(C30="", "", VLOOKUP(C30, 'Pricing Sheet'!A:G, 2, FALSE))</f>
        <v/>
      </c>
      <c r="G30" s="31" t="str">
        <f>IF(C30="","",VLOOKUP(C30,'Pricing Sheet'!A:G,4,FALSE))</f>
        <v/>
      </c>
      <c r="H30" s="31" t="str">
        <f>IF(C30="","",VLOOKUP(C30,'Pricing Sheet'!A:G,5,FALSE))</f>
        <v/>
      </c>
      <c r="I30" s="31" t="str">
        <f>IF(C30="","",VLOOKUP(C30,'Pricing Sheet'!A:G,7,FALSE))</f>
        <v/>
      </c>
      <c r="J30" s="31" t="str">
        <f t="shared" si="0"/>
        <v/>
      </c>
    </row>
    <row r="31" spans="6:10" x14ac:dyDescent="0.25">
      <c r="F31" s="31" t="str">
        <f>IF(C31="", "", VLOOKUP(C31, 'Pricing Sheet'!A:G, 2, FALSE))</f>
        <v/>
      </c>
      <c r="G31" s="31" t="str">
        <f>IF(C31="","",VLOOKUP(C31,'Pricing Sheet'!A:G,4,FALSE))</f>
        <v/>
      </c>
      <c r="H31" s="31" t="str">
        <f>IF(C31="","",VLOOKUP(C31,'Pricing Sheet'!A:G,5,FALSE))</f>
        <v/>
      </c>
      <c r="I31" s="31" t="str">
        <f>IF(C31="","",VLOOKUP(C31,'Pricing Sheet'!A:G,7,FALSE))</f>
        <v/>
      </c>
      <c r="J31" s="31" t="str">
        <f t="shared" si="0"/>
        <v/>
      </c>
    </row>
    <row r="32" spans="6:10" x14ac:dyDescent="0.25">
      <c r="F32" s="31" t="str">
        <f>IF(C32="", "", VLOOKUP(C32, 'Pricing Sheet'!A:G, 2, FALSE))</f>
        <v/>
      </c>
      <c r="G32" s="31" t="str">
        <f>IF(C32="","",VLOOKUP(C32,'Pricing Sheet'!A:G,4,FALSE))</f>
        <v/>
      </c>
      <c r="H32" s="31" t="str">
        <f>IF(C32="","",VLOOKUP(C32,'Pricing Sheet'!A:G,5,FALSE))</f>
        <v/>
      </c>
      <c r="I32" s="31" t="str">
        <f>IF(C32="","",VLOOKUP(C32,'Pricing Sheet'!A:G,7,FALSE))</f>
        <v/>
      </c>
      <c r="J32" s="31" t="str">
        <f t="shared" si="0"/>
        <v/>
      </c>
    </row>
    <row r="33" spans="6:10" x14ac:dyDescent="0.25">
      <c r="F33" s="31" t="str">
        <f>IF(C33="", "", VLOOKUP(C33, 'Pricing Sheet'!A:G, 2, FALSE))</f>
        <v/>
      </c>
      <c r="G33" s="31" t="str">
        <f>IF(C33="","",VLOOKUP(C33,'Pricing Sheet'!A:G,4,FALSE))</f>
        <v/>
      </c>
      <c r="H33" s="31" t="str">
        <f>IF(C33="","",VLOOKUP(C33,'Pricing Sheet'!A:G,5,FALSE))</f>
        <v/>
      </c>
      <c r="I33" s="31" t="str">
        <f>IF(C33="","",VLOOKUP(C33,'Pricing Sheet'!A:G,7,FALSE))</f>
        <v/>
      </c>
      <c r="J33" s="31" t="str">
        <f t="shared" si="0"/>
        <v/>
      </c>
    </row>
    <row r="34" spans="6:10" x14ac:dyDescent="0.25">
      <c r="F34" s="31" t="str">
        <f>IF(C34="", "", VLOOKUP(C34, 'Pricing Sheet'!A:G, 2, FALSE))</f>
        <v/>
      </c>
      <c r="G34" s="31" t="str">
        <f>IF(C34="","",VLOOKUP(C34,'Pricing Sheet'!A:G,4,FALSE))</f>
        <v/>
      </c>
      <c r="H34" s="31" t="str">
        <f>IF(C34="","",VLOOKUP(C34,'Pricing Sheet'!A:G,5,FALSE))</f>
        <v/>
      </c>
      <c r="I34" s="31" t="str">
        <f>IF(C34="","",VLOOKUP(C34,'Pricing Sheet'!A:G,7,FALSE))</f>
        <v/>
      </c>
      <c r="J34" s="31" t="str">
        <f t="shared" si="0"/>
        <v/>
      </c>
    </row>
    <row r="35" spans="6:10" x14ac:dyDescent="0.25">
      <c r="F35" s="31" t="str">
        <f>IF(C35="", "", VLOOKUP(C35, 'Pricing Sheet'!A:G, 2, FALSE))</f>
        <v/>
      </c>
      <c r="G35" s="31" t="str">
        <f>IF(C35="","",VLOOKUP(C35,'Pricing Sheet'!A:G,4,FALSE))</f>
        <v/>
      </c>
      <c r="H35" s="31" t="str">
        <f>IF(C35="","",VLOOKUP(C35,'Pricing Sheet'!A:G,5,FALSE))</f>
        <v/>
      </c>
      <c r="I35" s="31" t="str">
        <f>IF(C35="","",VLOOKUP(C35,'Pricing Sheet'!A:G,7,FALSE))</f>
        <v/>
      </c>
      <c r="J35" s="31" t="str">
        <f t="shared" si="0"/>
        <v/>
      </c>
    </row>
    <row r="36" spans="6:10" x14ac:dyDescent="0.25">
      <c r="F36" s="31" t="str">
        <f>IF(C36="", "", VLOOKUP(C36, 'Pricing Sheet'!A:G, 2, FALSE))</f>
        <v/>
      </c>
      <c r="G36" s="31" t="str">
        <f>IF(C36="","",VLOOKUP(C36,'Pricing Sheet'!A:G,4,FALSE))</f>
        <v/>
      </c>
      <c r="H36" s="31" t="str">
        <f>IF(C36="","",VLOOKUP(C36,'Pricing Sheet'!A:G,5,FALSE))</f>
        <v/>
      </c>
      <c r="I36" s="31" t="str">
        <f>IF(C36="","",VLOOKUP(C36,'Pricing Sheet'!A:G,7,FALSE))</f>
        <v/>
      </c>
      <c r="J36" s="31" t="str">
        <f t="shared" si="0"/>
        <v/>
      </c>
    </row>
    <row r="37" spans="6:10" x14ac:dyDescent="0.25">
      <c r="F37" s="31" t="str">
        <f>IF(C37="", "", VLOOKUP(C37, 'Pricing Sheet'!A:G, 2, FALSE))</f>
        <v/>
      </c>
      <c r="G37" s="31" t="str">
        <f>IF(C37="","",VLOOKUP(C37,'Pricing Sheet'!A:G,4,FALSE))</f>
        <v/>
      </c>
      <c r="H37" s="31" t="str">
        <f>IF(C37="","",VLOOKUP(C37,'Pricing Sheet'!A:G,5,FALSE))</f>
        <v/>
      </c>
      <c r="I37" s="31" t="str">
        <f>IF(C37="","",VLOOKUP(C37,'Pricing Sheet'!A:G,7,FALSE))</f>
        <v/>
      </c>
      <c r="J37" s="31" t="str">
        <f t="shared" si="0"/>
        <v/>
      </c>
    </row>
    <row r="38" spans="6:10" x14ac:dyDescent="0.25">
      <c r="F38" s="31" t="str">
        <f>IF(C38="", "", VLOOKUP(C38, 'Pricing Sheet'!A:G, 2, FALSE))</f>
        <v/>
      </c>
      <c r="G38" s="31" t="str">
        <f>IF(C38="","",VLOOKUP(C38,'Pricing Sheet'!A:G,4,FALSE))</f>
        <v/>
      </c>
      <c r="H38" s="31" t="str">
        <f>IF(C38="","",VLOOKUP(C38,'Pricing Sheet'!A:G,5,FALSE))</f>
        <v/>
      </c>
      <c r="I38" s="31" t="str">
        <f>IF(C38="","",VLOOKUP(C38,'Pricing Sheet'!A:G,7,FALSE))</f>
        <v/>
      </c>
      <c r="J38" s="31" t="str">
        <f t="shared" si="0"/>
        <v/>
      </c>
    </row>
    <row r="39" spans="6:10" x14ac:dyDescent="0.25">
      <c r="F39" s="31" t="str">
        <f>IF(C39="", "", VLOOKUP(C39, 'Pricing Sheet'!A:G, 2, FALSE))</f>
        <v/>
      </c>
      <c r="G39" s="31" t="str">
        <f>IF(C39="","",VLOOKUP(C39,'Pricing Sheet'!A:G,4,FALSE))</f>
        <v/>
      </c>
      <c r="H39" s="31" t="str">
        <f>IF(C39="","",VLOOKUP(C39,'Pricing Sheet'!A:G,5,FALSE))</f>
        <v/>
      </c>
      <c r="I39" s="31" t="str">
        <f>IF(C39="","",VLOOKUP(C39,'Pricing Sheet'!A:G,7,FALSE))</f>
        <v/>
      </c>
      <c r="J39" s="31" t="str">
        <f t="shared" si="0"/>
        <v/>
      </c>
    </row>
    <row r="40" spans="6:10" x14ac:dyDescent="0.25">
      <c r="F40" s="31" t="str">
        <f>IF(C40="", "", VLOOKUP(C40, 'Pricing Sheet'!A:G, 2, FALSE))</f>
        <v/>
      </c>
      <c r="G40" s="31" t="str">
        <f>IF(C40="","",VLOOKUP(C40,'Pricing Sheet'!A:G,4,FALSE))</f>
        <v/>
      </c>
      <c r="H40" s="31" t="str">
        <f>IF(C40="","",VLOOKUP(C40,'Pricing Sheet'!A:G,5,FALSE))</f>
        <v/>
      </c>
      <c r="I40" s="31" t="str">
        <f>IF(C40="","",VLOOKUP(C40,'Pricing Sheet'!A:G,7,FALSE))</f>
        <v/>
      </c>
      <c r="J40" s="31" t="str">
        <f t="shared" si="0"/>
        <v/>
      </c>
    </row>
    <row r="41" spans="6:10" x14ac:dyDescent="0.25">
      <c r="F41" s="31" t="str">
        <f>IF(C41="", "", VLOOKUP(C41, 'Pricing Sheet'!A:G, 2, FALSE))</f>
        <v/>
      </c>
      <c r="G41" s="31" t="str">
        <f>IF(C41="","",VLOOKUP(C41,'Pricing Sheet'!A:G,4,FALSE))</f>
        <v/>
      </c>
      <c r="H41" s="31" t="str">
        <f>IF(C41="","",VLOOKUP(C41,'Pricing Sheet'!A:G,5,FALSE))</f>
        <v/>
      </c>
      <c r="I41" s="31" t="str">
        <f>IF(C41="","",VLOOKUP(C41,'Pricing Sheet'!A:G,7,FALSE))</f>
        <v/>
      </c>
      <c r="J41" s="31" t="str">
        <f t="shared" si="0"/>
        <v/>
      </c>
    </row>
    <row r="42" spans="6:10" x14ac:dyDescent="0.25">
      <c r="F42" s="31" t="str">
        <f>IF(C42="", "", VLOOKUP(C42, 'Pricing Sheet'!A:G, 2, FALSE))</f>
        <v/>
      </c>
      <c r="G42" s="31" t="str">
        <f>IF(C42="","",VLOOKUP(C42,'Pricing Sheet'!A:G,4,FALSE))</f>
        <v/>
      </c>
      <c r="H42" s="31" t="str">
        <f>IF(C42="","",VLOOKUP(C42,'Pricing Sheet'!A:G,5,FALSE))</f>
        <v/>
      </c>
      <c r="I42" s="31" t="str">
        <f>IF(C42="","",VLOOKUP(C42,'Pricing Sheet'!A:G,7,FALSE))</f>
        <v/>
      </c>
      <c r="J42" s="31" t="str">
        <f t="shared" si="0"/>
        <v/>
      </c>
    </row>
    <row r="43" spans="6:10" x14ac:dyDescent="0.25">
      <c r="F43" s="31" t="str">
        <f>IF(C43="", "", VLOOKUP(C43, 'Pricing Sheet'!A:G, 2, FALSE))</f>
        <v/>
      </c>
      <c r="G43" s="31" t="str">
        <f>IF(C43="","",VLOOKUP(C43,'Pricing Sheet'!A:G,4,FALSE))</f>
        <v/>
      </c>
      <c r="H43" s="31" t="str">
        <f>IF(C43="","",VLOOKUP(C43,'Pricing Sheet'!A:G,5,FALSE))</f>
        <v/>
      </c>
      <c r="I43" s="31" t="str">
        <f>IF(C43="","",VLOOKUP(C43,'Pricing Sheet'!A:G,7,FALSE))</f>
        <v/>
      </c>
      <c r="J43" s="31" t="str">
        <f t="shared" si="0"/>
        <v/>
      </c>
    </row>
    <row r="44" spans="6:10" x14ac:dyDescent="0.25">
      <c r="F44" s="31" t="str">
        <f>IF(C44="", "", VLOOKUP(C44, 'Pricing Sheet'!A:G, 2, FALSE))</f>
        <v/>
      </c>
      <c r="G44" s="31" t="str">
        <f>IF(C44="","",VLOOKUP(C44,'Pricing Sheet'!A:G,4,FALSE))</f>
        <v/>
      </c>
      <c r="H44" s="31" t="str">
        <f>IF(C44="","",VLOOKUP(C44,'Pricing Sheet'!A:G,5,FALSE))</f>
        <v/>
      </c>
      <c r="I44" s="31" t="str">
        <f>IF(C44="","",VLOOKUP(C44,'Pricing Sheet'!A:G,7,FALSE))</f>
        <v/>
      </c>
      <c r="J44" s="31" t="str">
        <f t="shared" si="0"/>
        <v/>
      </c>
    </row>
    <row r="45" spans="6:10" x14ac:dyDescent="0.25">
      <c r="F45" s="31" t="str">
        <f>IF(C45="", "", VLOOKUP(C45, 'Pricing Sheet'!A:G, 2, FALSE))</f>
        <v/>
      </c>
      <c r="G45" s="31" t="str">
        <f>IF(C45="","",VLOOKUP(C45,'Pricing Sheet'!A:G,4,FALSE))</f>
        <v/>
      </c>
      <c r="H45" s="31" t="str">
        <f>IF(C45="","",VLOOKUP(C45,'Pricing Sheet'!A:G,5,FALSE))</f>
        <v/>
      </c>
      <c r="I45" s="31" t="str">
        <f>IF(C45="","",VLOOKUP(C45,'Pricing Sheet'!A:G,7,FALSE))</f>
        <v/>
      </c>
      <c r="J45" s="31" t="str">
        <f t="shared" si="0"/>
        <v/>
      </c>
    </row>
    <row r="46" spans="6:10" x14ac:dyDescent="0.25">
      <c r="F46" s="31" t="str">
        <f>IF(C46="", "", VLOOKUP(C46, 'Pricing Sheet'!A:G, 2, FALSE))</f>
        <v/>
      </c>
      <c r="G46" s="31" t="str">
        <f>IF(C46="","",VLOOKUP(C46,'Pricing Sheet'!A:G,4,FALSE))</f>
        <v/>
      </c>
      <c r="H46" s="31" t="str">
        <f>IF(C46="","",VLOOKUP(C46,'Pricing Sheet'!A:G,5,FALSE))</f>
        <v/>
      </c>
      <c r="I46" s="31" t="str">
        <f>IF(C46="","",VLOOKUP(C46,'Pricing Sheet'!A:G,7,FALSE))</f>
        <v/>
      </c>
      <c r="J46" s="31" t="str">
        <f t="shared" si="0"/>
        <v/>
      </c>
    </row>
    <row r="47" spans="6:10" x14ac:dyDescent="0.25">
      <c r="F47" s="31" t="str">
        <f>IF(C47="", "", VLOOKUP(C47, 'Pricing Sheet'!A:G, 2, FALSE))</f>
        <v/>
      </c>
      <c r="G47" s="31" t="str">
        <f>IF(C47="","",VLOOKUP(C47,'Pricing Sheet'!A:G,4,FALSE))</f>
        <v/>
      </c>
      <c r="H47" s="31" t="str">
        <f>IF(C47="","",VLOOKUP(C47,'Pricing Sheet'!A:G,5,FALSE))</f>
        <v/>
      </c>
      <c r="I47" s="31" t="str">
        <f>IF(C47="","",VLOOKUP(C47,'Pricing Sheet'!A:G,7,FALSE))</f>
        <v/>
      </c>
      <c r="J47" s="31" t="str">
        <f t="shared" si="0"/>
        <v/>
      </c>
    </row>
    <row r="48" spans="6:10" x14ac:dyDescent="0.25">
      <c r="F48" s="31" t="str">
        <f>IF(C48="", "", VLOOKUP(C48, 'Pricing Sheet'!A:G, 2, FALSE))</f>
        <v/>
      </c>
      <c r="G48" s="31" t="str">
        <f>IF(C48="","",VLOOKUP(C48,'Pricing Sheet'!A:G,4,FALSE))</f>
        <v/>
      </c>
      <c r="H48" s="31" t="str">
        <f>IF(C48="","",VLOOKUP(C48,'Pricing Sheet'!A:G,5,FALSE))</f>
        <v/>
      </c>
      <c r="I48" s="31" t="str">
        <f>IF(C48="","",VLOOKUP(C48,'Pricing Sheet'!A:G,7,FALSE))</f>
        <v/>
      </c>
      <c r="J48" s="31" t="str">
        <f t="shared" si="0"/>
        <v/>
      </c>
    </row>
    <row r="49" spans="6:10" x14ac:dyDescent="0.25">
      <c r="F49" s="31" t="str">
        <f>IF(C49="", "", VLOOKUP(C49, 'Pricing Sheet'!A:G, 2, FALSE))</f>
        <v/>
      </c>
      <c r="G49" s="31" t="str">
        <f>IF(C49="","",VLOOKUP(C49,'Pricing Sheet'!A:G,4,FALSE))</f>
        <v/>
      </c>
      <c r="H49" s="31" t="str">
        <f>IF(C49="","",VLOOKUP(C49,'Pricing Sheet'!A:G,5,FALSE))</f>
        <v/>
      </c>
      <c r="I49" s="31" t="str">
        <f>IF(C49="","",VLOOKUP(C49,'Pricing Sheet'!A:G,7,FALSE))</f>
        <v/>
      </c>
      <c r="J49" s="31" t="str">
        <f t="shared" si="0"/>
        <v/>
      </c>
    </row>
    <row r="50" spans="6:10" x14ac:dyDescent="0.25">
      <c r="F50" s="31" t="str">
        <f>IF(C50="", "", VLOOKUP(C50, 'Pricing Sheet'!A:G, 2, FALSE))</f>
        <v/>
      </c>
      <c r="G50" s="31" t="str">
        <f>IF(C50="","",VLOOKUP(C50,'Pricing Sheet'!A:G,4,FALSE))</f>
        <v/>
      </c>
      <c r="H50" s="31" t="str">
        <f>IF(C50="","",VLOOKUP(C50,'Pricing Sheet'!A:G,5,FALSE))</f>
        <v/>
      </c>
      <c r="I50" s="31" t="str">
        <f>IF(C50="","",VLOOKUP(C50,'Pricing Sheet'!A:G,7,FALSE))</f>
        <v/>
      </c>
      <c r="J50" s="31" t="str">
        <f t="shared" si="0"/>
        <v/>
      </c>
    </row>
    <row r="51" spans="6:10" x14ac:dyDescent="0.25">
      <c r="F51" s="31" t="str">
        <f>IF(C51="", "", VLOOKUP(C51, 'Pricing Sheet'!A:G, 2, FALSE))</f>
        <v/>
      </c>
      <c r="G51" s="31" t="str">
        <f>IF(C51="","",VLOOKUP(C51,'Pricing Sheet'!A:G,4,FALSE))</f>
        <v/>
      </c>
      <c r="H51" s="31" t="str">
        <f>IF(C51="","",VLOOKUP(C51,'Pricing Sheet'!A:G,5,FALSE))</f>
        <v/>
      </c>
      <c r="I51" s="31" t="str">
        <f>IF(C51="","",VLOOKUP(C51,'Pricing Sheet'!A:G,7,FALSE))</f>
        <v/>
      </c>
      <c r="J51" s="31" t="str">
        <f t="shared" si="0"/>
        <v/>
      </c>
    </row>
    <row r="52" spans="6:10" x14ac:dyDescent="0.25">
      <c r="F52" s="31" t="str">
        <f>IF(C52="", "", VLOOKUP(C52, 'Pricing Sheet'!A:G, 2, FALSE))</f>
        <v/>
      </c>
      <c r="G52" s="31" t="str">
        <f>IF(C52="","",VLOOKUP(C52,'Pricing Sheet'!A:G,4,FALSE))</f>
        <v/>
      </c>
      <c r="H52" s="31" t="str">
        <f>IF(C52="","",VLOOKUP(C52,'Pricing Sheet'!A:G,5,FALSE))</f>
        <v/>
      </c>
      <c r="I52" s="31" t="str">
        <f>IF(C52="","",VLOOKUP(C52,'Pricing Sheet'!A:G,7,FALSE))</f>
        <v/>
      </c>
      <c r="J52" s="31" t="str">
        <f t="shared" si="0"/>
        <v/>
      </c>
    </row>
    <row r="53" spans="6:10" x14ac:dyDescent="0.25">
      <c r="F53" s="31" t="str">
        <f>IF(C53="", "", VLOOKUP(C53, 'Pricing Sheet'!A:G, 2, FALSE))</f>
        <v/>
      </c>
      <c r="G53" s="31" t="str">
        <f>IF(C53="","",VLOOKUP(C53,'Pricing Sheet'!A:G,4,FALSE))</f>
        <v/>
      </c>
      <c r="H53" s="31" t="str">
        <f>IF(C53="","",VLOOKUP(C53,'Pricing Sheet'!A:G,5,FALSE))</f>
        <v/>
      </c>
      <c r="I53" s="31" t="str">
        <f>IF(C53="","",VLOOKUP(C53,'Pricing Sheet'!A:G,7,FALSE))</f>
        <v/>
      </c>
      <c r="J53" s="31" t="str">
        <f t="shared" si="0"/>
        <v/>
      </c>
    </row>
    <row r="54" spans="6:10" x14ac:dyDescent="0.25">
      <c r="F54" s="31" t="str">
        <f>IF(C54="", "", VLOOKUP(C54, 'Pricing Sheet'!A:G, 2, FALSE))</f>
        <v/>
      </c>
      <c r="G54" s="31" t="str">
        <f>IF(C54="","",VLOOKUP(C54,'Pricing Sheet'!A:G,4,FALSE))</f>
        <v/>
      </c>
      <c r="H54" s="31" t="str">
        <f>IF(C54="","",VLOOKUP(C54,'Pricing Sheet'!A:G,5,FALSE))</f>
        <v/>
      </c>
      <c r="I54" s="31" t="str">
        <f>IF(C54="","",VLOOKUP(C54,'Pricing Sheet'!A:G,7,FALSE))</f>
        <v/>
      </c>
      <c r="J54" s="31" t="str">
        <f t="shared" si="0"/>
        <v/>
      </c>
    </row>
    <row r="55" spans="6:10" x14ac:dyDescent="0.25">
      <c r="F55" s="31" t="str">
        <f>IF(C55="", "", VLOOKUP(C55, 'Pricing Sheet'!A:G, 2, FALSE))</f>
        <v/>
      </c>
      <c r="G55" s="31" t="str">
        <f>IF(C55="","",VLOOKUP(C55,'Pricing Sheet'!A:G,4,FALSE))</f>
        <v/>
      </c>
      <c r="H55" s="31" t="str">
        <f>IF(C55="","",VLOOKUP(C55,'Pricing Sheet'!A:G,5,FALSE))</f>
        <v/>
      </c>
      <c r="I55" s="31" t="str">
        <f>IF(C55="","",VLOOKUP(C55,'Pricing Sheet'!A:G,7,FALSE))</f>
        <v/>
      </c>
      <c r="J55" s="31" t="str">
        <f t="shared" si="0"/>
        <v/>
      </c>
    </row>
    <row r="56" spans="6:10" x14ac:dyDescent="0.25">
      <c r="F56" s="31" t="str">
        <f>IF(C56="", "", VLOOKUP(C56, 'Pricing Sheet'!A:G, 2, FALSE))</f>
        <v/>
      </c>
      <c r="G56" s="31" t="str">
        <f>IF(C56="","",VLOOKUP(C56,'Pricing Sheet'!A:G,4,FALSE))</f>
        <v/>
      </c>
      <c r="H56" s="31" t="str">
        <f>IF(C56="","",VLOOKUP(C56,'Pricing Sheet'!A:G,5,FALSE))</f>
        <v/>
      </c>
      <c r="I56" s="31" t="str">
        <f>IF(C56="","",VLOOKUP(C56,'Pricing Sheet'!A:G,7,FALSE))</f>
        <v/>
      </c>
      <c r="J56" s="31" t="str">
        <f t="shared" si="0"/>
        <v/>
      </c>
    </row>
    <row r="57" spans="6:10" x14ac:dyDescent="0.25">
      <c r="F57" s="31" t="str">
        <f>IF(C57="", "", VLOOKUP(C57, 'Pricing Sheet'!A:G, 2, FALSE))</f>
        <v/>
      </c>
      <c r="G57" s="31" t="str">
        <f>IF(C57="","",VLOOKUP(C57,'Pricing Sheet'!A:G,4,FALSE))</f>
        <v/>
      </c>
      <c r="H57" s="31" t="str">
        <f>IF(C57="","",VLOOKUP(C57,'Pricing Sheet'!A:G,5,FALSE))</f>
        <v/>
      </c>
      <c r="I57" s="31" t="str">
        <f>IF(C57="","",VLOOKUP(C57,'Pricing Sheet'!A:G,7,FALSE))</f>
        <v/>
      </c>
      <c r="J57" s="31" t="str">
        <f t="shared" si="0"/>
        <v/>
      </c>
    </row>
    <row r="58" spans="6:10" x14ac:dyDescent="0.25">
      <c r="F58" s="31" t="str">
        <f>IF(C58="", "", VLOOKUP(C58, 'Pricing Sheet'!A:G, 2, FALSE))</f>
        <v/>
      </c>
      <c r="G58" s="31" t="str">
        <f>IF(C58="","",VLOOKUP(C58,'Pricing Sheet'!A:G,4,FALSE))</f>
        <v/>
      </c>
      <c r="H58" s="31" t="str">
        <f>IF(C58="","",VLOOKUP(C58,'Pricing Sheet'!A:G,5,FALSE))</f>
        <v/>
      </c>
      <c r="I58" s="31" t="str">
        <f>IF(C58="","",VLOOKUP(C58,'Pricing Sheet'!A:G,7,FALSE))</f>
        <v/>
      </c>
      <c r="J58" s="31" t="str">
        <f t="shared" si="0"/>
        <v/>
      </c>
    </row>
    <row r="59" spans="6:10" x14ac:dyDescent="0.25">
      <c r="F59" s="31" t="str">
        <f>IF(C59="", "", VLOOKUP(C59, 'Pricing Sheet'!A:G, 2, FALSE))</f>
        <v/>
      </c>
      <c r="G59" s="31" t="str">
        <f>IF(C59="","",VLOOKUP(C59,'Pricing Sheet'!A:G,4,FALSE))</f>
        <v/>
      </c>
      <c r="H59" s="31" t="str">
        <f>IF(C59="","",VLOOKUP(C59,'Pricing Sheet'!A:G,5,FALSE))</f>
        <v/>
      </c>
      <c r="I59" s="31" t="str">
        <f>IF(C59="","",VLOOKUP(C59,'Pricing Sheet'!A:G,7,FALSE))</f>
        <v/>
      </c>
      <c r="J59" s="31" t="str">
        <f t="shared" si="0"/>
        <v/>
      </c>
    </row>
    <row r="60" spans="6:10" x14ac:dyDescent="0.25">
      <c r="F60" s="31" t="str">
        <f>IF(C60="", "", VLOOKUP(C60, 'Pricing Sheet'!A:G, 2, FALSE))</f>
        <v/>
      </c>
      <c r="G60" s="31" t="str">
        <f>IF(C60="","",VLOOKUP(C60,'Pricing Sheet'!A:G,4,FALSE))</f>
        <v/>
      </c>
      <c r="H60" s="31" t="str">
        <f>IF(C60="","",VLOOKUP(C60,'Pricing Sheet'!A:G,5,FALSE))</f>
        <v/>
      </c>
      <c r="I60" s="31" t="str">
        <f>IF(C60="","",VLOOKUP(C60,'Pricing Sheet'!A:G,7,FALSE))</f>
        <v/>
      </c>
      <c r="J60" s="31" t="str">
        <f t="shared" si="0"/>
        <v/>
      </c>
    </row>
    <row r="61" spans="6:10" x14ac:dyDescent="0.25">
      <c r="F61" s="31" t="str">
        <f>IF(C61="", "", VLOOKUP(C61, 'Pricing Sheet'!A:G, 2, FALSE))</f>
        <v/>
      </c>
      <c r="G61" s="31" t="str">
        <f>IF(C61="","",VLOOKUP(C61,'Pricing Sheet'!A:G,4,FALSE))</f>
        <v/>
      </c>
      <c r="H61" s="31" t="str">
        <f>IF(C61="","",VLOOKUP(C61,'Pricing Sheet'!A:G,5,FALSE))</f>
        <v/>
      </c>
      <c r="I61" s="31" t="str">
        <f>IF(C61="","",VLOOKUP(C61,'Pricing Sheet'!A:G,7,FALSE))</f>
        <v/>
      </c>
      <c r="J61" s="31" t="str">
        <f t="shared" si="0"/>
        <v/>
      </c>
    </row>
    <row r="62" spans="6:10" x14ac:dyDescent="0.25">
      <c r="F62" s="31" t="str">
        <f>IF(C62="", "", VLOOKUP(C62, 'Pricing Sheet'!A:G, 2, FALSE))</f>
        <v/>
      </c>
      <c r="G62" s="31" t="str">
        <f>IF(C62="","",VLOOKUP(C62,'Pricing Sheet'!A:G,4,FALSE))</f>
        <v/>
      </c>
      <c r="H62" s="31" t="str">
        <f>IF(C62="","",VLOOKUP(C62,'Pricing Sheet'!A:G,5,FALSE))</f>
        <v/>
      </c>
      <c r="I62" s="31" t="str">
        <f>IF(C62="","",VLOOKUP(C62,'Pricing Sheet'!A:G,7,FALSE))</f>
        <v/>
      </c>
      <c r="J62" s="31" t="str">
        <f t="shared" si="0"/>
        <v/>
      </c>
    </row>
    <row r="63" spans="6:10" x14ac:dyDescent="0.25">
      <c r="F63" s="31" t="str">
        <f>IF(C63="", "", VLOOKUP(C63, 'Pricing Sheet'!A:G, 2, FALSE))</f>
        <v/>
      </c>
      <c r="G63" s="31" t="str">
        <f>IF(C63="","",VLOOKUP(C63,'Pricing Sheet'!A:G,4,FALSE))</f>
        <v/>
      </c>
      <c r="H63" s="31" t="str">
        <f>IF(C63="","",VLOOKUP(C63,'Pricing Sheet'!A:G,5,FALSE))</f>
        <v/>
      </c>
      <c r="I63" s="31" t="str">
        <f>IF(C63="","",VLOOKUP(C63,'Pricing Sheet'!A:G,7,FALSE))</f>
        <v/>
      </c>
      <c r="J63" s="31" t="str">
        <f t="shared" si="0"/>
        <v/>
      </c>
    </row>
    <row r="64" spans="6:10" x14ac:dyDescent="0.25">
      <c r="F64" s="31" t="str">
        <f>IF(C64="", "", VLOOKUP(C64, 'Pricing Sheet'!A:G, 2, FALSE))</f>
        <v/>
      </c>
      <c r="G64" s="31" t="str">
        <f>IF(C64="","",VLOOKUP(C64,'Pricing Sheet'!A:G,4,FALSE))</f>
        <v/>
      </c>
      <c r="H64" s="31" t="str">
        <f>IF(C64="","",VLOOKUP(C64,'Pricing Sheet'!A:G,5,FALSE))</f>
        <v/>
      </c>
      <c r="I64" s="31" t="str">
        <f>IF(C64="","",VLOOKUP(C64,'Pricing Sheet'!A:G,7,FALSE))</f>
        <v/>
      </c>
      <c r="J64" s="31" t="str">
        <f t="shared" si="0"/>
        <v/>
      </c>
    </row>
    <row r="65" spans="6:10" x14ac:dyDescent="0.25">
      <c r="F65" s="31" t="str">
        <f>IF(C65="", "", VLOOKUP(C65, 'Pricing Sheet'!A:G, 2, FALSE))</f>
        <v/>
      </c>
      <c r="G65" s="31" t="str">
        <f>IF(C65="","",VLOOKUP(C65,'Pricing Sheet'!A:G,4,FALSE))</f>
        <v/>
      </c>
      <c r="H65" s="31" t="str">
        <f>IF(C65="","",VLOOKUP(C65,'Pricing Sheet'!A:G,5,FALSE))</f>
        <v/>
      </c>
      <c r="I65" s="31" t="str">
        <f>IF(C65="","",VLOOKUP(C65,'Pricing Sheet'!A:G,7,FALSE))</f>
        <v/>
      </c>
      <c r="J65" s="31" t="str">
        <f t="shared" si="0"/>
        <v/>
      </c>
    </row>
    <row r="66" spans="6:10" x14ac:dyDescent="0.25">
      <c r="F66" s="31" t="str">
        <f>IF(C66="", "", VLOOKUP(C66, 'Pricing Sheet'!A:G, 2, FALSE))</f>
        <v/>
      </c>
      <c r="G66" s="31" t="str">
        <f>IF(C66="","",VLOOKUP(C66,'Pricing Sheet'!A:G,4,FALSE))</f>
        <v/>
      </c>
      <c r="H66" s="31" t="str">
        <f>IF(C66="","",VLOOKUP(C66,'Pricing Sheet'!A:G,5,FALSE))</f>
        <v/>
      </c>
      <c r="I66" s="31" t="str">
        <f>IF(C66="","",VLOOKUP(C66,'Pricing Sheet'!A:G,7,FALSE))</f>
        <v/>
      </c>
      <c r="J66" s="31" t="str">
        <f t="shared" si="0"/>
        <v/>
      </c>
    </row>
    <row r="67" spans="6:10" x14ac:dyDescent="0.25">
      <c r="F67" s="31" t="str">
        <f>IF(C67="", "", VLOOKUP(C67, 'Pricing Sheet'!A:G, 2, FALSE))</f>
        <v/>
      </c>
      <c r="G67" s="31" t="str">
        <f>IF(C67="","",VLOOKUP(C67,'Pricing Sheet'!A:G,4,FALSE))</f>
        <v/>
      </c>
      <c r="H67" s="31" t="str">
        <f>IF(C67="","",VLOOKUP(C67,'Pricing Sheet'!A:G,5,FALSE))</f>
        <v/>
      </c>
      <c r="I67" s="31" t="str">
        <f>IF(C67="","",VLOOKUP(C67,'Pricing Sheet'!A:G,7,FALSE))</f>
        <v/>
      </c>
      <c r="J67" s="31" t="str">
        <f t="shared" ref="J67:J130" si="1">IF(B67="", "", "HPLC Purified")</f>
        <v/>
      </c>
    </row>
    <row r="68" spans="6:10" x14ac:dyDescent="0.25">
      <c r="F68" s="31" t="str">
        <f>IF(C68="", "", VLOOKUP(C68, 'Pricing Sheet'!A:G, 2, FALSE))</f>
        <v/>
      </c>
      <c r="G68" s="31" t="str">
        <f>IF(C68="","",VLOOKUP(C68,'Pricing Sheet'!A:G,4,FALSE))</f>
        <v/>
      </c>
      <c r="H68" s="31" t="str">
        <f>IF(C68="","",VLOOKUP(C68,'Pricing Sheet'!A:G,5,FALSE))</f>
        <v/>
      </c>
      <c r="I68" s="31" t="str">
        <f>IF(C68="","",VLOOKUP(C68,'Pricing Sheet'!A:G,7,FALSE))</f>
        <v/>
      </c>
      <c r="J68" s="31" t="str">
        <f t="shared" si="1"/>
        <v/>
      </c>
    </row>
    <row r="69" spans="6:10" x14ac:dyDescent="0.25">
      <c r="F69" s="31" t="str">
        <f>IF(C69="", "", VLOOKUP(C69, 'Pricing Sheet'!A:G, 2, FALSE))</f>
        <v/>
      </c>
      <c r="G69" s="31" t="str">
        <f>IF(C69="","",VLOOKUP(C69,'Pricing Sheet'!A:G,4,FALSE))</f>
        <v/>
      </c>
      <c r="H69" s="31" t="str">
        <f>IF(C69="","",VLOOKUP(C69,'Pricing Sheet'!A:G,5,FALSE))</f>
        <v/>
      </c>
      <c r="I69" s="31" t="str">
        <f>IF(C69="","",VLOOKUP(C69,'Pricing Sheet'!A:G,7,FALSE))</f>
        <v/>
      </c>
      <c r="J69" s="31" t="str">
        <f t="shared" si="1"/>
        <v/>
      </c>
    </row>
    <row r="70" spans="6:10" x14ac:dyDescent="0.25">
      <c r="F70" s="31" t="str">
        <f>IF(C70="", "", VLOOKUP(C70, 'Pricing Sheet'!A:G, 2, FALSE))</f>
        <v/>
      </c>
      <c r="G70" s="31" t="str">
        <f>IF(C70="","",VLOOKUP(C70,'Pricing Sheet'!A:G,4,FALSE))</f>
        <v/>
      </c>
      <c r="H70" s="31" t="str">
        <f>IF(C70="","",VLOOKUP(C70,'Pricing Sheet'!A:G,5,FALSE))</f>
        <v/>
      </c>
      <c r="I70" s="31" t="str">
        <f>IF(C70="","",VLOOKUP(C70,'Pricing Sheet'!A:G,7,FALSE))</f>
        <v/>
      </c>
      <c r="J70" s="31" t="str">
        <f t="shared" si="1"/>
        <v/>
      </c>
    </row>
    <row r="71" spans="6:10" x14ac:dyDescent="0.25">
      <c r="F71" s="31" t="str">
        <f>IF(C71="", "", VLOOKUP(C71, 'Pricing Sheet'!A:G, 2, FALSE))</f>
        <v/>
      </c>
      <c r="G71" s="31" t="str">
        <f>IF(C71="","",VLOOKUP(C71,'Pricing Sheet'!A:G,4,FALSE))</f>
        <v/>
      </c>
      <c r="H71" s="31" t="str">
        <f>IF(C71="","",VLOOKUP(C71,'Pricing Sheet'!A:G,5,FALSE))</f>
        <v/>
      </c>
      <c r="I71" s="31" t="str">
        <f>IF(C71="","",VLOOKUP(C71,'Pricing Sheet'!A:G,7,FALSE))</f>
        <v/>
      </c>
      <c r="J71" s="31" t="str">
        <f t="shared" si="1"/>
        <v/>
      </c>
    </row>
    <row r="72" spans="6:10" x14ac:dyDescent="0.25">
      <c r="F72" s="31" t="str">
        <f>IF(C72="", "", VLOOKUP(C72, 'Pricing Sheet'!A:G, 2, FALSE))</f>
        <v/>
      </c>
      <c r="G72" s="31" t="str">
        <f>IF(C72="","",VLOOKUP(C72,'Pricing Sheet'!A:G,4,FALSE))</f>
        <v/>
      </c>
      <c r="H72" s="31" t="str">
        <f>IF(C72="","",VLOOKUP(C72,'Pricing Sheet'!A:G,5,FALSE))</f>
        <v/>
      </c>
      <c r="I72" s="31" t="str">
        <f>IF(C72="","",VLOOKUP(C72,'Pricing Sheet'!A:G,7,FALSE))</f>
        <v/>
      </c>
      <c r="J72" s="31" t="str">
        <f t="shared" si="1"/>
        <v/>
      </c>
    </row>
    <row r="73" spans="6:10" x14ac:dyDescent="0.25">
      <c r="F73" s="31" t="str">
        <f>IF(C73="", "", VLOOKUP(C73, 'Pricing Sheet'!A:G, 2, FALSE))</f>
        <v/>
      </c>
      <c r="G73" s="31" t="str">
        <f>IF(C73="","",VLOOKUP(C73,'Pricing Sheet'!A:G,4,FALSE))</f>
        <v/>
      </c>
      <c r="H73" s="31" t="str">
        <f>IF(C73="","",VLOOKUP(C73,'Pricing Sheet'!A:G,5,FALSE))</f>
        <v/>
      </c>
      <c r="I73" s="31" t="str">
        <f>IF(C73="","",VLOOKUP(C73,'Pricing Sheet'!A:G,7,FALSE))</f>
        <v/>
      </c>
      <c r="J73" s="31" t="str">
        <f t="shared" si="1"/>
        <v/>
      </c>
    </row>
    <row r="74" spans="6:10" x14ac:dyDescent="0.25">
      <c r="F74" s="31" t="str">
        <f>IF(C74="", "", VLOOKUP(C74, 'Pricing Sheet'!A:G, 2, FALSE))</f>
        <v/>
      </c>
      <c r="G74" s="31" t="str">
        <f>IF(C74="","",VLOOKUP(C74,'Pricing Sheet'!A:G,4,FALSE))</f>
        <v/>
      </c>
      <c r="H74" s="31" t="str">
        <f>IF(C74="","",VLOOKUP(C74,'Pricing Sheet'!A:G,5,FALSE))</f>
        <v/>
      </c>
      <c r="I74" s="31" t="str">
        <f>IF(C74="","",VLOOKUP(C74,'Pricing Sheet'!A:G,7,FALSE))</f>
        <v/>
      </c>
      <c r="J74" s="31" t="str">
        <f t="shared" si="1"/>
        <v/>
      </c>
    </row>
    <row r="75" spans="6:10" x14ac:dyDescent="0.25">
      <c r="F75" s="31" t="str">
        <f>IF(C75="", "", VLOOKUP(C75, 'Pricing Sheet'!A:G, 2, FALSE))</f>
        <v/>
      </c>
      <c r="G75" s="31" t="str">
        <f>IF(C75="","",VLOOKUP(C75,'Pricing Sheet'!A:G,4,FALSE))</f>
        <v/>
      </c>
      <c r="H75" s="31" t="str">
        <f>IF(C75="","",VLOOKUP(C75,'Pricing Sheet'!A:G,5,FALSE))</f>
        <v/>
      </c>
      <c r="I75" s="31" t="str">
        <f>IF(C75="","",VLOOKUP(C75,'Pricing Sheet'!A:G,7,FALSE))</f>
        <v/>
      </c>
      <c r="J75" s="31" t="str">
        <f t="shared" si="1"/>
        <v/>
      </c>
    </row>
    <row r="76" spans="6:10" x14ac:dyDescent="0.25">
      <c r="F76" s="31" t="str">
        <f>IF(C76="", "", VLOOKUP(C76, 'Pricing Sheet'!A:G, 2, FALSE))</f>
        <v/>
      </c>
      <c r="G76" s="31" t="str">
        <f>IF(C76="","",VLOOKUP(C76,'Pricing Sheet'!A:G,4,FALSE))</f>
        <v/>
      </c>
      <c r="H76" s="31" t="str">
        <f>IF(C76="","",VLOOKUP(C76,'Pricing Sheet'!A:G,5,FALSE))</f>
        <v/>
      </c>
      <c r="I76" s="31" t="str">
        <f>IF(C76="","",VLOOKUP(C76,'Pricing Sheet'!A:G,7,FALSE))</f>
        <v/>
      </c>
      <c r="J76" s="31" t="str">
        <f t="shared" si="1"/>
        <v/>
      </c>
    </row>
    <row r="77" spans="6:10" x14ac:dyDescent="0.25">
      <c r="F77" s="31" t="str">
        <f>IF(C77="", "", VLOOKUP(C77, 'Pricing Sheet'!A:G, 2, FALSE))</f>
        <v/>
      </c>
      <c r="G77" s="31" t="str">
        <f>IF(C77="","",VLOOKUP(C77,'Pricing Sheet'!A:G,4,FALSE))</f>
        <v/>
      </c>
      <c r="H77" s="31" t="str">
        <f>IF(C77="","",VLOOKUP(C77,'Pricing Sheet'!A:G,5,FALSE))</f>
        <v/>
      </c>
      <c r="I77" s="31" t="str">
        <f>IF(C77="","",VLOOKUP(C77,'Pricing Sheet'!A:G,7,FALSE))</f>
        <v/>
      </c>
      <c r="J77" s="31" t="str">
        <f t="shared" si="1"/>
        <v/>
      </c>
    </row>
    <row r="78" spans="6:10" x14ac:dyDescent="0.25">
      <c r="F78" s="31" t="str">
        <f>IF(C78="", "", VLOOKUP(C78, 'Pricing Sheet'!A:G, 2, FALSE))</f>
        <v/>
      </c>
      <c r="G78" s="31" t="str">
        <f>IF(C78="","",VLOOKUP(C78,'Pricing Sheet'!A:G,4,FALSE))</f>
        <v/>
      </c>
      <c r="H78" s="31" t="str">
        <f>IF(C78="","",VLOOKUP(C78,'Pricing Sheet'!A:G,5,FALSE))</f>
        <v/>
      </c>
      <c r="I78" s="31" t="str">
        <f>IF(C78="","",VLOOKUP(C78,'Pricing Sheet'!A:G,7,FALSE))</f>
        <v/>
      </c>
      <c r="J78" s="31" t="str">
        <f t="shared" si="1"/>
        <v/>
      </c>
    </row>
    <row r="79" spans="6:10" x14ac:dyDescent="0.25">
      <c r="F79" s="31" t="str">
        <f>IF(C79="", "", VLOOKUP(C79, 'Pricing Sheet'!A:G, 2, FALSE))</f>
        <v/>
      </c>
      <c r="G79" s="31" t="str">
        <f>IF(C79="","",VLOOKUP(C79,'Pricing Sheet'!A:G,4,FALSE))</f>
        <v/>
      </c>
      <c r="H79" s="31" t="str">
        <f>IF(C79="","",VLOOKUP(C79,'Pricing Sheet'!A:G,5,FALSE))</f>
        <v/>
      </c>
      <c r="I79" s="31" t="str">
        <f>IF(C79="","",VLOOKUP(C79,'Pricing Sheet'!A:G,7,FALSE))</f>
        <v/>
      </c>
      <c r="J79" s="31" t="str">
        <f t="shared" si="1"/>
        <v/>
      </c>
    </row>
    <row r="80" spans="6:10" x14ac:dyDescent="0.25">
      <c r="F80" s="31" t="str">
        <f>IF(C80="", "", VLOOKUP(C80, 'Pricing Sheet'!A:G, 2, FALSE))</f>
        <v/>
      </c>
      <c r="G80" s="31" t="str">
        <f>IF(C80="","",VLOOKUP(C80,'Pricing Sheet'!A:G,4,FALSE))</f>
        <v/>
      </c>
      <c r="H80" s="31" t="str">
        <f>IF(C80="","",VLOOKUP(C80,'Pricing Sheet'!A:G,5,FALSE))</f>
        <v/>
      </c>
      <c r="I80" s="31" t="str">
        <f>IF(C80="","",VLOOKUP(C80,'Pricing Sheet'!A:G,7,FALSE))</f>
        <v/>
      </c>
      <c r="J80" s="31" t="str">
        <f t="shared" si="1"/>
        <v/>
      </c>
    </row>
    <row r="81" spans="6:10" x14ac:dyDescent="0.25">
      <c r="F81" s="31" t="str">
        <f>IF(C81="", "", VLOOKUP(C81, 'Pricing Sheet'!A:G, 2, FALSE))</f>
        <v/>
      </c>
      <c r="G81" s="31" t="str">
        <f>IF(C81="","",VLOOKUP(C81,'Pricing Sheet'!A:G,4,FALSE))</f>
        <v/>
      </c>
      <c r="H81" s="31" t="str">
        <f>IF(C81="","",VLOOKUP(C81,'Pricing Sheet'!A:G,5,FALSE))</f>
        <v/>
      </c>
      <c r="I81" s="31" t="str">
        <f>IF(C81="","",VLOOKUP(C81,'Pricing Sheet'!A:G,7,FALSE))</f>
        <v/>
      </c>
      <c r="J81" s="31" t="str">
        <f t="shared" si="1"/>
        <v/>
      </c>
    </row>
    <row r="82" spans="6:10" x14ac:dyDescent="0.25">
      <c r="F82" s="31" t="str">
        <f>IF(C82="", "", VLOOKUP(C82, 'Pricing Sheet'!A:G, 2, FALSE))</f>
        <v/>
      </c>
      <c r="G82" s="31" t="str">
        <f>IF(C82="","",VLOOKUP(C82,'Pricing Sheet'!A:G,4,FALSE))</f>
        <v/>
      </c>
      <c r="H82" s="31" t="str">
        <f>IF(C82="","",VLOOKUP(C82,'Pricing Sheet'!A:G,5,FALSE))</f>
        <v/>
      </c>
      <c r="I82" s="31" t="str">
        <f>IF(C82="","",VLOOKUP(C82,'Pricing Sheet'!A:G,7,FALSE))</f>
        <v/>
      </c>
      <c r="J82" s="31" t="str">
        <f t="shared" si="1"/>
        <v/>
      </c>
    </row>
    <row r="83" spans="6:10" x14ac:dyDescent="0.25">
      <c r="F83" s="31" t="str">
        <f>IF(C83="", "", VLOOKUP(C83, 'Pricing Sheet'!A:G, 2, FALSE))</f>
        <v/>
      </c>
      <c r="G83" s="31" t="str">
        <f>IF(C83="","",VLOOKUP(C83,'Pricing Sheet'!A:G,4,FALSE))</f>
        <v/>
      </c>
      <c r="H83" s="31" t="str">
        <f>IF(C83="","",VLOOKUP(C83,'Pricing Sheet'!A:G,5,FALSE))</f>
        <v/>
      </c>
      <c r="I83" s="31" t="str">
        <f>IF(C83="","",VLOOKUP(C83,'Pricing Sheet'!A:G,7,FALSE))</f>
        <v/>
      </c>
      <c r="J83" s="31" t="str">
        <f t="shared" si="1"/>
        <v/>
      </c>
    </row>
    <row r="84" spans="6:10" x14ac:dyDescent="0.25">
      <c r="F84" s="31" t="str">
        <f>IF(C84="", "", VLOOKUP(C84, 'Pricing Sheet'!A:G, 2, FALSE))</f>
        <v/>
      </c>
      <c r="G84" s="31" t="str">
        <f>IF(C84="","",VLOOKUP(C84,'Pricing Sheet'!A:G,4,FALSE))</f>
        <v/>
      </c>
      <c r="H84" s="31" t="str">
        <f>IF(C84="","",VLOOKUP(C84,'Pricing Sheet'!A:G,5,FALSE))</f>
        <v/>
      </c>
      <c r="I84" s="31" t="str">
        <f>IF(C84="","",VLOOKUP(C84,'Pricing Sheet'!A:G,7,FALSE))</f>
        <v/>
      </c>
      <c r="J84" s="31" t="str">
        <f t="shared" si="1"/>
        <v/>
      </c>
    </row>
    <row r="85" spans="6:10" x14ac:dyDescent="0.25">
      <c r="F85" s="31" t="str">
        <f>IF(C85="", "", VLOOKUP(C85, 'Pricing Sheet'!A:G, 2, FALSE))</f>
        <v/>
      </c>
      <c r="G85" s="31" t="str">
        <f>IF(C85="","",VLOOKUP(C85,'Pricing Sheet'!A:G,4,FALSE))</f>
        <v/>
      </c>
      <c r="H85" s="31" t="str">
        <f>IF(C85="","",VLOOKUP(C85,'Pricing Sheet'!A:G,5,FALSE))</f>
        <v/>
      </c>
      <c r="I85" s="31" t="str">
        <f>IF(C85="","",VLOOKUP(C85,'Pricing Sheet'!A:G,7,FALSE))</f>
        <v/>
      </c>
      <c r="J85" s="31" t="str">
        <f t="shared" si="1"/>
        <v/>
      </c>
    </row>
    <row r="86" spans="6:10" x14ac:dyDescent="0.25">
      <c r="F86" s="31" t="str">
        <f>IF(C86="", "", VLOOKUP(C86, 'Pricing Sheet'!A:G, 2, FALSE))</f>
        <v/>
      </c>
      <c r="G86" s="31" t="str">
        <f>IF(C86="","",VLOOKUP(C86,'Pricing Sheet'!A:G,4,FALSE))</f>
        <v/>
      </c>
      <c r="H86" s="31" t="str">
        <f>IF(C86="","",VLOOKUP(C86,'Pricing Sheet'!A:G,5,FALSE))</f>
        <v/>
      </c>
      <c r="I86" s="31" t="str">
        <f>IF(C86="","",VLOOKUP(C86,'Pricing Sheet'!A:G,7,FALSE))</f>
        <v/>
      </c>
      <c r="J86" s="31" t="str">
        <f t="shared" si="1"/>
        <v/>
      </c>
    </row>
    <row r="87" spans="6:10" x14ac:dyDescent="0.25">
      <c r="F87" s="31" t="str">
        <f>IF(C87="", "", VLOOKUP(C87, 'Pricing Sheet'!A:G, 2, FALSE))</f>
        <v/>
      </c>
      <c r="G87" s="31" t="str">
        <f>IF(C87="","",VLOOKUP(C87,'Pricing Sheet'!A:G,4,FALSE))</f>
        <v/>
      </c>
      <c r="H87" s="31" t="str">
        <f>IF(C87="","",VLOOKUP(C87,'Pricing Sheet'!A:G,5,FALSE))</f>
        <v/>
      </c>
      <c r="I87" s="31" t="str">
        <f>IF(C87="","",VLOOKUP(C87,'Pricing Sheet'!A:G,7,FALSE))</f>
        <v/>
      </c>
      <c r="J87" s="31" t="str">
        <f t="shared" si="1"/>
        <v/>
      </c>
    </row>
    <row r="88" spans="6:10" x14ac:dyDescent="0.25">
      <c r="F88" s="31" t="str">
        <f>IF(C88="", "", VLOOKUP(C88, 'Pricing Sheet'!A:G, 2, FALSE))</f>
        <v/>
      </c>
      <c r="G88" s="31" t="str">
        <f>IF(C88="","",VLOOKUP(C88,'Pricing Sheet'!A:G,4,FALSE))</f>
        <v/>
      </c>
      <c r="H88" s="31" t="str">
        <f>IF(C88="","",VLOOKUP(C88,'Pricing Sheet'!A:G,5,FALSE))</f>
        <v/>
      </c>
      <c r="I88" s="31" t="str">
        <f>IF(C88="","",VLOOKUP(C88,'Pricing Sheet'!A:G,7,FALSE))</f>
        <v/>
      </c>
      <c r="J88" s="31" t="str">
        <f t="shared" si="1"/>
        <v/>
      </c>
    </row>
    <row r="89" spans="6:10" x14ac:dyDescent="0.25">
      <c r="F89" s="31" t="str">
        <f>IF(C89="", "", VLOOKUP(C89, 'Pricing Sheet'!A:G, 2, FALSE))</f>
        <v/>
      </c>
      <c r="G89" s="31" t="str">
        <f>IF(C89="","",VLOOKUP(C89,'Pricing Sheet'!A:G,4,FALSE))</f>
        <v/>
      </c>
      <c r="H89" s="31" t="str">
        <f>IF(C89="","",VLOOKUP(C89,'Pricing Sheet'!A:G,5,FALSE))</f>
        <v/>
      </c>
      <c r="I89" s="31" t="str">
        <f>IF(C89="","",VLOOKUP(C89,'Pricing Sheet'!A:G,7,FALSE))</f>
        <v/>
      </c>
      <c r="J89" s="31" t="str">
        <f t="shared" si="1"/>
        <v/>
      </c>
    </row>
    <row r="90" spans="6:10" x14ac:dyDescent="0.25">
      <c r="F90" s="31" t="str">
        <f>IF(C90="", "", VLOOKUP(C90, 'Pricing Sheet'!A:G, 2, FALSE))</f>
        <v/>
      </c>
      <c r="G90" s="31" t="str">
        <f>IF(C90="","",VLOOKUP(C90,'Pricing Sheet'!A:G,4,FALSE))</f>
        <v/>
      </c>
      <c r="H90" s="31" t="str">
        <f>IF(C90="","",VLOOKUP(C90,'Pricing Sheet'!A:G,5,FALSE))</f>
        <v/>
      </c>
      <c r="I90" s="31" t="str">
        <f>IF(C90="","",VLOOKUP(C90,'Pricing Sheet'!A:G,7,FALSE))</f>
        <v/>
      </c>
      <c r="J90" s="31" t="str">
        <f t="shared" si="1"/>
        <v/>
      </c>
    </row>
    <row r="91" spans="6:10" x14ac:dyDescent="0.25">
      <c r="F91" s="31" t="str">
        <f>IF(C91="", "", VLOOKUP(C91, 'Pricing Sheet'!A:G, 2, FALSE))</f>
        <v/>
      </c>
      <c r="G91" s="31" t="str">
        <f>IF(C91="","",VLOOKUP(C91,'Pricing Sheet'!A:G,4,FALSE))</f>
        <v/>
      </c>
      <c r="H91" s="31" t="str">
        <f>IF(C91="","",VLOOKUP(C91,'Pricing Sheet'!A:G,5,FALSE))</f>
        <v/>
      </c>
      <c r="I91" s="31" t="str">
        <f>IF(C91="","",VLOOKUP(C91,'Pricing Sheet'!A:G,7,FALSE))</f>
        <v/>
      </c>
      <c r="J91" s="31" t="str">
        <f t="shared" si="1"/>
        <v/>
      </c>
    </row>
    <row r="92" spans="6:10" x14ac:dyDescent="0.25">
      <c r="F92" s="31" t="str">
        <f>IF(C92="", "", VLOOKUP(C92, 'Pricing Sheet'!A:G, 2, FALSE))</f>
        <v/>
      </c>
      <c r="G92" s="31" t="str">
        <f>IF(C92="","",VLOOKUP(C92,'Pricing Sheet'!A:G,4,FALSE))</f>
        <v/>
      </c>
      <c r="H92" s="31" t="str">
        <f>IF(C92="","",VLOOKUP(C92,'Pricing Sheet'!A:G,5,FALSE))</f>
        <v/>
      </c>
      <c r="I92" s="31" t="str">
        <f>IF(C92="","",VLOOKUP(C92,'Pricing Sheet'!A:G,7,FALSE))</f>
        <v/>
      </c>
      <c r="J92" s="31" t="str">
        <f t="shared" si="1"/>
        <v/>
      </c>
    </row>
    <row r="93" spans="6:10" x14ac:dyDescent="0.25">
      <c r="F93" s="31" t="str">
        <f>IF(C93="", "", VLOOKUP(C93, 'Pricing Sheet'!A:G, 2, FALSE))</f>
        <v/>
      </c>
      <c r="G93" s="31" t="str">
        <f>IF(C93="","",VLOOKUP(C93,'Pricing Sheet'!A:G,4,FALSE))</f>
        <v/>
      </c>
      <c r="H93" s="31" t="str">
        <f>IF(C93="","",VLOOKUP(C93,'Pricing Sheet'!A:G,5,FALSE))</f>
        <v/>
      </c>
      <c r="I93" s="31" t="str">
        <f>IF(C93="","",VLOOKUP(C93,'Pricing Sheet'!A:G,7,FALSE))</f>
        <v/>
      </c>
      <c r="J93" s="31" t="str">
        <f t="shared" si="1"/>
        <v/>
      </c>
    </row>
    <row r="94" spans="6:10" x14ac:dyDescent="0.25">
      <c r="F94" s="31" t="str">
        <f>IF(C94="", "", VLOOKUP(C94, 'Pricing Sheet'!A:G, 2, FALSE))</f>
        <v/>
      </c>
      <c r="G94" s="31" t="str">
        <f>IF(C94="","",VLOOKUP(C94,'Pricing Sheet'!A:G,4,FALSE))</f>
        <v/>
      </c>
      <c r="H94" s="31" t="str">
        <f>IF(C94="","",VLOOKUP(C94,'Pricing Sheet'!A:G,5,FALSE))</f>
        <v/>
      </c>
      <c r="I94" s="31" t="str">
        <f>IF(C94="","",VLOOKUP(C94,'Pricing Sheet'!A:G,7,FALSE))</f>
        <v/>
      </c>
      <c r="J94" s="31" t="str">
        <f t="shared" si="1"/>
        <v/>
      </c>
    </row>
    <row r="95" spans="6:10" x14ac:dyDescent="0.25">
      <c r="F95" s="31" t="str">
        <f>IF(C95="", "", VLOOKUP(C95, 'Pricing Sheet'!A:G, 2, FALSE))</f>
        <v/>
      </c>
      <c r="G95" s="31" t="str">
        <f>IF(C95="","",VLOOKUP(C95,'Pricing Sheet'!A:G,4,FALSE))</f>
        <v/>
      </c>
      <c r="H95" s="31" t="str">
        <f>IF(C95="","",VLOOKUP(C95,'Pricing Sheet'!A:G,5,FALSE))</f>
        <v/>
      </c>
      <c r="I95" s="31" t="str">
        <f>IF(C95="","",VLOOKUP(C95,'Pricing Sheet'!A:G,7,FALSE))</f>
        <v/>
      </c>
      <c r="J95" s="31" t="str">
        <f t="shared" si="1"/>
        <v/>
      </c>
    </row>
    <row r="96" spans="6:10" x14ac:dyDescent="0.25">
      <c r="F96" s="31" t="str">
        <f>IF(C96="", "", VLOOKUP(C96, 'Pricing Sheet'!A:G, 2, FALSE))</f>
        <v/>
      </c>
      <c r="G96" s="31" t="str">
        <f>IF(C96="","",VLOOKUP(C96,'Pricing Sheet'!A:G,4,FALSE))</f>
        <v/>
      </c>
      <c r="H96" s="31" t="str">
        <f>IF(C96="","",VLOOKUP(C96,'Pricing Sheet'!A:G,5,FALSE))</f>
        <v/>
      </c>
      <c r="I96" s="31" t="str">
        <f>IF(C96="","",VLOOKUP(C96,'Pricing Sheet'!A:G,7,FALSE))</f>
        <v/>
      </c>
      <c r="J96" s="31" t="str">
        <f t="shared" si="1"/>
        <v/>
      </c>
    </row>
    <row r="97" spans="6:10" x14ac:dyDescent="0.25">
      <c r="F97" s="31" t="str">
        <f>IF(C97="", "", VLOOKUP(C97, 'Pricing Sheet'!A:G, 2, FALSE))</f>
        <v/>
      </c>
      <c r="G97" s="31" t="str">
        <f>IF(C97="","",VLOOKUP(C97,'Pricing Sheet'!A:G,4,FALSE))</f>
        <v/>
      </c>
      <c r="H97" s="31" t="str">
        <f>IF(C97="","",VLOOKUP(C97,'Pricing Sheet'!A:G,5,FALSE))</f>
        <v/>
      </c>
      <c r="I97" s="31" t="str">
        <f>IF(C97="","",VLOOKUP(C97,'Pricing Sheet'!A:G,7,FALSE))</f>
        <v/>
      </c>
      <c r="J97" s="31" t="str">
        <f t="shared" si="1"/>
        <v/>
      </c>
    </row>
    <row r="98" spans="6:10" x14ac:dyDescent="0.25">
      <c r="F98" s="31" t="str">
        <f>IF(C98="", "", VLOOKUP(C98, 'Pricing Sheet'!A:G, 2, FALSE))</f>
        <v/>
      </c>
      <c r="G98" s="31" t="str">
        <f>IF(C98="","",VLOOKUP(C98,'Pricing Sheet'!A:G,4,FALSE))</f>
        <v/>
      </c>
      <c r="H98" s="31" t="str">
        <f>IF(C98="","",VLOOKUP(C98,'Pricing Sheet'!A:G,5,FALSE))</f>
        <v/>
      </c>
      <c r="I98" s="31" t="str">
        <f>IF(C98="","",VLOOKUP(C98,'Pricing Sheet'!A:G,7,FALSE))</f>
        <v/>
      </c>
      <c r="J98" s="31" t="str">
        <f t="shared" si="1"/>
        <v/>
      </c>
    </row>
    <row r="99" spans="6:10" x14ac:dyDescent="0.25">
      <c r="F99" s="31" t="str">
        <f>IF(C99="", "", VLOOKUP(C99, 'Pricing Sheet'!A:G, 2, FALSE))</f>
        <v/>
      </c>
      <c r="G99" s="31" t="str">
        <f>IF(C99="","",VLOOKUP(C99,'Pricing Sheet'!A:G,4,FALSE))</f>
        <v/>
      </c>
      <c r="H99" s="31" t="str">
        <f>IF(C99="","",VLOOKUP(C99,'Pricing Sheet'!A:G,5,FALSE))</f>
        <v/>
      </c>
      <c r="I99" s="31" t="str">
        <f>IF(C99="","",VLOOKUP(C99,'Pricing Sheet'!A:G,7,FALSE))</f>
        <v/>
      </c>
      <c r="J99" s="31" t="str">
        <f t="shared" si="1"/>
        <v/>
      </c>
    </row>
    <row r="100" spans="6:10" x14ac:dyDescent="0.25">
      <c r="F100" s="31" t="str">
        <f>IF(C100="", "", VLOOKUP(C100, 'Pricing Sheet'!A:G, 2, FALSE))</f>
        <v/>
      </c>
      <c r="G100" s="31" t="str">
        <f>IF(C100="","",VLOOKUP(C100,'Pricing Sheet'!A:G,4,FALSE))</f>
        <v/>
      </c>
      <c r="H100" s="31" t="str">
        <f>IF(C100="","",VLOOKUP(C100,'Pricing Sheet'!A:G,5,FALSE))</f>
        <v/>
      </c>
      <c r="I100" s="31" t="str">
        <f>IF(C100="","",VLOOKUP(C100,'Pricing Sheet'!A:G,7,FALSE))</f>
        <v/>
      </c>
      <c r="J100" s="31" t="str">
        <f t="shared" si="1"/>
        <v/>
      </c>
    </row>
    <row r="101" spans="6:10" x14ac:dyDescent="0.25">
      <c r="F101" s="31" t="str">
        <f>IF(C101="", "", VLOOKUP(C101, 'Pricing Sheet'!A:G, 2, FALSE))</f>
        <v/>
      </c>
      <c r="G101" s="31" t="str">
        <f>IF(C101="","",VLOOKUP(C101,'Pricing Sheet'!A:G,4,FALSE))</f>
        <v/>
      </c>
      <c r="H101" s="31" t="str">
        <f>IF(C101="","",VLOOKUP(C101,'Pricing Sheet'!A:G,5,FALSE))</f>
        <v/>
      </c>
      <c r="I101" s="31" t="str">
        <f>IF(C101="","",VLOOKUP(C101,'Pricing Sheet'!A:G,7,FALSE))</f>
        <v/>
      </c>
      <c r="J101" s="31" t="str">
        <f t="shared" si="1"/>
        <v/>
      </c>
    </row>
    <row r="102" spans="6:10" x14ac:dyDescent="0.25">
      <c r="F102" s="31" t="str">
        <f>IF(C102="", "", VLOOKUP(C102, 'Pricing Sheet'!A:G, 2, FALSE))</f>
        <v/>
      </c>
      <c r="G102" s="31" t="str">
        <f>IF(C102="","",VLOOKUP(C102,'Pricing Sheet'!A:G,4,FALSE))</f>
        <v/>
      </c>
      <c r="H102" s="31" t="str">
        <f>IF(C102="","",VLOOKUP(C102,'Pricing Sheet'!A:G,5,FALSE))</f>
        <v/>
      </c>
      <c r="I102" s="31" t="str">
        <f>IF(C102="","",VLOOKUP(C102,'Pricing Sheet'!A:G,7,FALSE))</f>
        <v/>
      </c>
      <c r="J102" s="31" t="str">
        <f t="shared" si="1"/>
        <v/>
      </c>
    </row>
    <row r="103" spans="6:10" x14ac:dyDescent="0.25">
      <c r="F103" s="31" t="str">
        <f>IF(C103="", "", VLOOKUP(C103, 'Pricing Sheet'!A:G, 2, FALSE))</f>
        <v/>
      </c>
      <c r="G103" s="31" t="str">
        <f>IF(C103="","",VLOOKUP(C103,'Pricing Sheet'!A:G,4,FALSE))</f>
        <v/>
      </c>
      <c r="H103" s="31" t="str">
        <f>IF(C103="","",VLOOKUP(C103,'Pricing Sheet'!A:G,5,FALSE))</f>
        <v/>
      </c>
      <c r="I103" s="31" t="str">
        <f>IF(C103="","",VLOOKUP(C103,'Pricing Sheet'!A:G,7,FALSE))</f>
        <v/>
      </c>
      <c r="J103" s="31" t="str">
        <f t="shared" si="1"/>
        <v/>
      </c>
    </row>
    <row r="104" spans="6:10" x14ac:dyDescent="0.25">
      <c r="F104" s="31" t="str">
        <f>IF(C104="", "", VLOOKUP(C104, 'Pricing Sheet'!A:G, 2, FALSE))</f>
        <v/>
      </c>
      <c r="G104" s="31" t="str">
        <f>IF(C104="","",VLOOKUP(C104,'Pricing Sheet'!A:G,4,FALSE))</f>
        <v/>
      </c>
      <c r="H104" s="31" t="str">
        <f>IF(C104="","",VLOOKUP(C104,'Pricing Sheet'!A:G,5,FALSE))</f>
        <v/>
      </c>
      <c r="I104" s="31" t="str">
        <f>IF(C104="","",VLOOKUP(C104,'Pricing Sheet'!A:G,7,FALSE))</f>
        <v/>
      </c>
      <c r="J104" s="31" t="str">
        <f t="shared" si="1"/>
        <v/>
      </c>
    </row>
    <row r="105" spans="6:10" x14ac:dyDescent="0.25">
      <c r="F105" s="31" t="str">
        <f>IF(C105="", "", VLOOKUP(C105, 'Pricing Sheet'!A:G, 2, FALSE))</f>
        <v/>
      </c>
      <c r="G105" s="31" t="str">
        <f>IF(C105="","",VLOOKUP(C105,'Pricing Sheet'!A:G,4,FALSE))</f>
        <v/>
      </c>
      <c r="H105" s="31" t="str">
        <f>IF(C105="","",VLOOKUP(C105,'Pricing Sheet'!A:G,5,FALSE))</f>
        <v/>
      </c>
      <c r="I105" s="31" t="str">
        <f>IF(C105="","",VLOOKUP(C105,'Pricing Sheet'!A:G,7,FALSE))</f>
        <v/>
      </c>
      <c r="J105" s="31" t="str">
        <f t="shared" si="1"/>
        <v/>
      </c>
    </row>
    <row r="106" spans="6:10" x14ac:dyDescent="0.25">
      <c r="F106" s="31" t="str">
        <f>IF(C106="", "", VLOOKUP(C106, 'Pricing Sheet'!A:G, 2, FALSE))</f>
        <v/>
      </c>
      <c r="G106" s="31" t="str">
        <f>IF(C106="","",VLOOKUP(C106,'Pricing Sheet'!A:G,4,FALSE))</f>
        <v/>
      </c>
      <c r="H106" s="31" t="str">
        <f>IF(C106="","",VLOOKUP(C106,'Pricing Sheet'!A:G,5,FALSE))</f>
        <v/>
      </c>
      <c r="I106" s="31" t="str">
        <f>IF(C106="","",VLOOKUP(C106,'Pricing Sheet'!A:G,7,FALSE))</f>
        <v/>
      </c>
      <c r="J106" s="31" t="str">
        <f t="shared" si="1"/>
        <v/>
      </c>
    </row>
    <row r="107" spans="6:10" x14ac:dyDescent="0.25">
      <c r="F107" s="31" t="str">
        <f>IF(C107="", "", VLOOKUP(C107, 'Pricing Sheet'!A:G, 2, FALSE))</f>
        <v/>
      </c>
      <c r="G107" s="31" t="str">
        <f>IF(C107="","",VLOOKUP(C107,'Pricing Sheet'!A:G,4,FALSE))</f>
        <v/>
      </c>
      <c r="H107" s="31" t="str">
        <f>IF(C107="","",VLOOKUP(C107,'Pricing Sheet'!A:G,5,FALSE))</f>
        <v/>
      </c>
      <c r="I107" s="31" t="str">
        <f>IF(C107="","",VLOOKUP(C107,'Pricing Sheet'!A:G,7,FALSE))</f>
        <v/>
      </c>
      <c r="J107" s="31" t="str">
        <f t="shared" si="1"/>
        <v/>
      </c>
    </row>
    <row r="108" spans="6:10" x14ac:dyDescent="0.25">
      <c r="F108" s="31" t="str">
        <f>IF(C108="", "", VLOOKUP(C108, 'Pricing Sheet'!A:G, 2, FALSE))</f>
        <v/>
      </c>
      <c r="G108" s="31" t="str">
        <f>IF(C108="","",VLOOKUP(C108,'Pricing Sheet'!A:G,4,FALSE))</f>
        <v/>
      </c>
      <c r="H108" s="31" t="str">
        <f>IF(C108="","",VLOOKUP(C108,'Pricing Sheet'!A:G,5,FALSE))</f>
        <v/>
      </c>
      <c r="I108" s="31" t="str">
        <f>IF(C108="","",VLOOKUP(C108,'Pricing Sheet'!A:G,7,FALSE))</f>
        <v/>
      </c>
      <c r="J108" s="31" t="str">
        <f t="shared" si="1"/>
        <v/>
      </c>
    </row>
    <row r="109" spans="6:10" x14ac:dyDescent="0.25">
      <c r="F109" s="31" t="str">
        <f>IF(C109="", "", VLOOKUP(C109, 'Pricing Sheet'!A:G, 2, FALSE))</f>
        <v/>
      </c>
      <c r="G109" s="31" t="str">
        <f>IF(C109="","",VLOOKUP(C109,'Pricing Sheet'!A:G,4,FALSE))</f>
        <v/>
      </c>
      <c r="H109" s="31" t="str">
        <f>IF(C109="","",VLOOKUP(C109,'Pricing Sheet'!A:G,5,FALSE))</f>
        <v/>
      </c>
      <c r="I109" s="31" t="str">
        <f>IF(C109="","",VLOOKUP(C109,'Pricing Sheet'!A:G,7,FALSE))</f>
        <v/>
      </c>
      <c r="J109" s="31" t="str">
        <f t="shared" si="1"/>
        <v/>
      </c>
    </row>
    <row r="110" spans="6:10" x14ac:dyDescent="0.25">
      <c r="F110" s="31" t="str">
        <f>IF(C110="", "", VLOOKUP(C110, 'Pricing Sheet'!A:G, 2, FALSE))</f>
        <v/>
      </c>
      <c r="G110" s="31" t="str">
        <f>IF(C110="","",VLOOKUP(C110,'Pricing Sheet'!A:G,4,FALSE))</f>
        <v/>
      </c>
      <c r="H110" s="31" t="str">
        <f>IF(C110="","",VLOOKUP(C110,'Pricing Sheet'!A:G,5,FALSE))</f>
        <v/>
      </c>
      <c r="I110" s="31" t="str">
        <f>IF(C110="","",VLOOKUP(C110,'Pricing Sheet'!A:G,7,FALSE))</f>
        <v/>
      </c>
      <c r="J110" s="31" t="str">
        <f t="shared" si="1"/>
        <v/>
      </c>
    </row>
    <row r="111" spans="6:10" x14ac:dyDescent="0.25">
      <c r="F111" s="31" t="str">
        <f>IF(C111="", "", VLOOKUP(C111, 'Pricing Sheet'!A:G, 2, FALSE))</f>
        <v/>
      </c>
      <c r="G111" s="31" t="str">
        <f>IF(C111="","",VLOOKUP(C111,'Pricing Sheet'!A:G,4,FALSE))</f>
        <v/>
      </c>
      <c r="H111" s="31" t="str">
        <f>IF(C111="","",VLOOKUP(C111,'Pricing Sheet'!A:G,5,FALSE))</f>
        <v/>
      </c>
      <c r="I111" s="31" t="str">
        <f>IF(C111="","",VLOOKUP(C111,'Pricing Sheet'!A:G,7,FALSE))</f>
        <v/>
      </c>
      <c r="J111" s="31" t="str">
        <f t="shared" si="1"/>
        <v/>
      </c>
    </row>
    <row r="112" spans="6:10" x14ac:dyDescent="0.25">
      <c r="F112" s="31" t="str">
        <f>IF(C112="", "", VLOOKUP(C112, 'Pricing Sheet'!A:G, 2, FALSE))</f>
        <v/>
      </c>
      <c r="G112" s="31" t="str">
        <f>IF(C112="","",VLOOKUP(C112,'Pricing Sheet'!A:G,4,FALSE))</f>
        <v/>
      </c>
      <c r="H112" s="31" t="str">
        <f>IF(C112="","",VLOOKUP(C112,'Pricing Sheet'!A:G,5,FALSE))</f>
        <v/>
      </c>
      <c r="I112" s="31" t="str">
        <f>IF(C112="","",VLOOKUP(C112,'Pricing Sheet'!A:G,7,FALSE))</f>
        <v/>
      </c>
      <c r="J112" s="31" t="str">
        <f t="shared" si="1"/>
        <v/>
      </c>
    </row>
    <row r="113" spans="6:10" x14ac:dyDescent="0.25">
      <c r="F113" s="31" t="str">
        <f>IF(C113="", "", VLOOKUP(C113, 'Pricing Sheet'!A:G, 2, FALSE))</f>
        <v/>
      </c>
      <c r="G113" s="31" t="str">
        <f>IF(C113="","",VLOOKUP(C113,'Pricing Sheet'!A:G,4,FALSE))</f>
        <v/>
      </c>
      <c r="H113" s="31" t="str">
        <f>IF(C113="","",VLOOKUP(C113,'Pricing Sheet'!A:G,5,FALSE))</f>
        <v/>
      </c>
      <c r="I113" s="31" t="str">
        <f>IF(C113="","",VLOOKUP(C113,'Pricing Sheet'!A:G,7,FALSE))</f>
        <v/>
      </c>
      <c r="J113" s="31" t="str">
        <f t="shared" si="1"/>
        <v/>
      </c>
    </row>
    <row r="114" spans="6:10" x14ac:dyDescent="0.25">
      <c r="F114" s="31" t="str">
        <f>IF(C114="", "", VLOOKUP(C114, 'Pricing Sheet'!A:G, 2, FALSE))</f>
        <v/>
      </c>
      <c r="G114" s="31" t="str">
        <f>IF(C114="","",VLOOKUP(C114,'Pricing Sheet'!A:G,4,FALSE))</f>
        <v/>
      </c>
      <c r="H114" s="31" t="str">
        <f>IF(C114="","",VLOOKUP(C114,'Pricing Sheet'!A:G,5,FALSE))</f>
        <v/>
      </c>
      <c r="I114" s="31" t="str">
        <f>IF(C114="","",VLOOKUP(C114,'Pricing Sheet'!A:G,7,FALSE))</f>
        <v/>
      </c>
      <c r="J114" s="31" t="str">
        <f t="shared" si="1"/>
        <v/>
      </c>
    </row>
    <row r="115" spans="6:10" x14ac:dyDescent="0.25">
      <c r="F115" s="31" t="str">
        <f>IF(C115="", "", VLOOKUP(C115, 'Pricing Sheet'!A:G, 2, FALSE))</f>
        <v/>
      </c>
      <c r="G115" s="31" t="str">
        <f>IF(C115="","",VLOOKUP(C115,'Pricing Sheet'!A:G,4,FALSE))</f>
        <v/>
      </c>
      <c r="H115" s="31" t="str">
        <f>IF(C115="","",VLOOKUP(C115,'Pricing Sheet'!A:G,5,FALSE))</f>
        <v/>
      </c>
      <c r="I115" s="31" t="str">
        <f>IF(C115="","",VLOOKUP(C115,'Pricing Sheet'!A:G,7,FALSE))</f>
        <v/>
      </c>
      <c r="J115" s="31" t="str">
        <f t="shared" si="1"/>
        <v/>
      </c>
    </row>
    <row r="116" spans="6:10" x14ac:dyDescent="0.25">
      <c r="F116" s="31" t="str">
        <f>IF(C116="", "", VLOOKUP(C116, 'Pricing Sheet'!A:G, 2, FALSE))</f>
        <v/>
      </c>
      <c r="G116" s="31" t="str">
        <f>IF(C116="","",VLOOKUP(C116,'Pricing Sheet'!A:G,4,FALSE))</f>
        <v/>
      </c>
      <c r="H116" s="31" t="str">
        <f>IF(C116="","",VLOOKUP(C116,'Pricing Sheet'!A:G,5,FALSE))</f>
        <v/>
      </c>
      <c r="I116" s="31" t="str">
        <f>IF(C116="","",VLOOKUP(C116,'Pricing Sheet'!A:G,7,FALSE))</f>
        <v/>
      </c>
      <c r="J116" s="31" t="str">
        <f t="shared" si="1"/>
        <v/>
      </c>
    </row>
    <row r="117" spans="6:10" x14ac:dyDescent="0.25">
      <c r="F117" s="31" t="str">
        <f>IF(C117="", "", VLOOKUP(C117, 'Pricing Sheet'!A:G, 2, FALSE))</f>
        <v/>
      </c>
      <c r="G117" s="31" t="str">
        <f>IF(C117="","",VLOOKUP(C117,'Pricing Sheet'!A:G,4,FALSE))</f>
        <v/>
      </c>
      <c r="H117" s="31" t="str">
        <f>IF(C117="","",VLOOKUP(C117,'Pricing Sheet'!A:G,5,FALSE))</f>
        <v/>
      </c>
      <c r="I117" s="31" t="str">
        <f>IF(C117="","",VLOOKUP(C117,'Pricing Sheet'!A:G,7,FALSE))</f>
        <v/>
      </c>
      <c r="J117" s="31" t="str">
        <f t="shared" si="1"/>
        <v/>
      </c>
    </row>
    <row r="118" spans="6:10" x14ac:dyDescent="0.25">
      <c r="F118" s="31" t="str">
        <f>IF(C118="", "", VLOOKUP(C118, 'Pricing Sheet'!A:G, 2, FALSE))</f>
        <v/>
      </c>
      <c r="G118" s="31" t="str">
        <f>IF(C118="","",VLOOKUP(C118,'Pricing Sheet'!A:G,4,FALSE))</f>
        <v/>
      </c>
      <c r="H118" s="31" t="str">
        <f>IF(C118="","",VLOOKUP(C118,'Pricing Sheet'!A:G,5,FALSE))</f>
        <v/>
      </c>
      <c r="I118" s="31" t="str">
        <f>IF(C118="","",VLOOKUP(C118,'Pricing Sheet'!A:G,7,FALSE))</f>
        <v/>
      </c>
      <c r="J118" s="31" t="str">
        <f t="shared" si="1"/>
        <v/>
      </c>
    </row>
    <row r="119" spans="6:10" x14ac:dyDescent="0.25">
      <c r="F119" s="31" t="str">
        <f>IF(C119="", "", VLOOKUP(C119, 'Pricing Sheet'!A:G, 2, FALSE))</f>
        <v/>
      </c>
      <c r="G119" s="31" t="str">
        <f>IF(C119="","",VLOOKUP(C119,'Pricing Sheet'!A:G,4,FALSE))</f>
        <v/>
      </c>
      <c r="H119" s="31" t="str">
        <f>IF(C119="","",VLOOKUP(C119,'Pricing Sheet'!A:G,5,FALSE))</f>
        <v/>
      </c>
      <c r="I119" s="31" t="str">
        <f>IF(C119="","",VLOOKUP(C119,'Pricing Sheet'!A:G,7,FALSE))</f>
        <v/>
      </c>
      <c r="J119" s="31" t="str">
        <f t="shared" si="1"/>
        <v/>
      </c>
    </row>
    <row r="120" spans="6:10" x14ac:dyDescent="0.25">
      <c r="F120" s="31" t="str">
        <f>IF(C120="", "", VLOOKUP(C120, 'Pricing Sheet'!A:G, 2, FALSE))</f>
        <v/>
      </c>
      <c r="G120" s="31" t="str">
        <f>IF(C120="","",VLOOKUP(C120,'Pricing Sheet'!A:G,4,FALSE))</f>
        <v/>
      </c>
      <c r="H120" s="31" t="str">
        <f>IF(C120="","",VLOOKUP(C120,'Pricing Sheet'!A:G,5,FALSE))</f>
        <v/>
      </c>
      <c r="I120" s="31" t="str">
        <f>IF(C120="","",VLOOKUP(C120,'Pricing Sheet'!A:G,7,FALSE))</f>
        <v/>
      </c>
      <c r="J120" s="31" t="str">
        <f t="shared" si="1"/>
        <v/>
      </c>
    </row>
    <row r="121" spans="6:10" x14ac:dyDescent="0.25">
      <c r="F121" s="31" t="str">
        <f>IF(C121="", "", VLOOKUP(C121, 'Pricing Sheet'!A:G, 2, FALSE))</f>
        <v/>
      </c>
      <c r="G121" s="31" t="str">
        <f>IF(C121="","",VLOOKUP(C121,'Pricing Sheet'!A:G,4,FALSE))</f>
        <v/>
      </c>
      <c r="H121" s="31" t="str">
        <f>IF(C121="","",VLOOKUP(C121,'Pricing Sheet'!A:G,5,FALSE))</f>
        <v/>
      </c>
      <c r="I121" s="31" t="str">
        <f>IF(C121="","",VLOOKUP(C121,'Pricing Sheet'!A:G,7,FALSE))</f>
        <v/>
      </c>
      <c r="J121" s="31" t="str">
        <f t="shared" si="1"/>
        <v/>
      </c>
    </row>
    <row r="122" spans="6:10" x14ac:dyDescent="0.25">
      <c r="F122" s="31" t="str">
        <f>IF(C122="", "", VLOOKUP(C122, 'Pricing Sheet'!A:G, 2, FALSE))</f>
        <v/>
      </c>
      <c r="G122" s="31" t="str">
        <f>IF(C122="","",VLOOKUP(C122,'Pricing Sheet'!A:G,4,FALSE))</f>
        <v/>
      </c>
      <c r="H122" s="31" t="str">
        <f>IF(C122="","",VLOOKUP(C122,'Pricing Sheet'!A:G,5,FALSE))</f>
        <v/>
      </c>
      <c r="I122" s="31" t="str">
        <f>IF(C122="","",VLOOKUP(C122,'Pricing Sheet'!A:G,7,FALSE))</f>
        <v/>
      </c>
      <c r="J122" s="31" t="str">
        <f t="shared" si="1"/>
        <v/>
      </c>
    </row>
    <row r="123" spans="6:10" x14ac:dyDescent="0.25">
      <c r="F123" s="31" t="str">
        <f>IF(C123="", "", VLOOKUP(C123, 'Pricing Sheet'!A:G, 2, FALSE))</f>
        <v/>
      </c>
      <c r="G123" s="31" t="str">
        <f>IF(C123="","",VLOOKUP(C123,'Pricing Sheet'!A:G,4,FALSE))</f>
        <v/>
      </c>
      <c r="H123" s="31" t="str">
        <f>IF(C123="","",VLOOKUP(C123,'Pricing Sheet'!A:G,5,FALSE))</f>
        <v/>
      </c>
      <c r="I123" s="31" t="str">
        <f>IF(C123="","",VLOOKUP(C123,'Pricing Sheet'!A:G,7,FALSE))</f>
        <v/>
      </c>
      <c r="J123" s="31" t="str">
        <f t="shared" si="1"/>
        <v/>
      </c>
    </row>
    <row r="124" spans="6:10" x14ac:dyDescent="0.25">
      <c r="F124" s="31" t="str">
        <f>IF(C124="", "", VLOOKUP(C124, 'Pricing Sheet'!A:G, 2, FALSE))</f>
        <v/>
      </c>
      <c r="G124" s="31" t="str">
        <f>IF(C124="","",VLOOKUP(C124,'Pricing Sheet'!A:G,4,FALSE))</f>
        <v/>
      </c>
      <c r="H124" s="31" t="str">
        <f>IF(C124="","",VLOOKUP(C124,'Pricing Sheet'!A:G,5,FALSE))</f>
        <v/>
      </c>
      <c r="I124" s="31" t="str">
        <f>IF(C124="","",VLOOKUP(C124,'Pricing Sheet'!A:G,7,FALSE))</f>
        <v/>
      </c>
      <c r="J124" s="31" t="str">
        <f t="shared" si="1"/>
        <v/>
      </c>
    </row>
    <row r="125" spans="6:10" x14ac:dyDescent="0.25">
      <c r="F125" s="31" t="str">
        <f>IF(C125="", "", VLOOKUP(C125, 'Pricing Sheet'!A:G, 2, FALSE))</f>
        <v/>
      </c>
      <c r="G125" s="31" t="str">
        <f>IF(C125="","",VLOOKUP(C125,'Pricing Sheet'!A:G,4,FALSE))</f>
        <v/>
      </c>
      <c r="H125" s="31" t="str">
        <f>IF(C125="","",VLOOKUP(C125,'Pricing Sheet'!A:G,5,FALSE))</f>
        <v/>
      </c>
      <c r="I125" s="31" t="str">
        <f>IF(C125="","",VLOOKUP(C125,'Pricing Sheet'!A:G,7,FALSE))</f>
        <v/>
      </c>
      <c r="J125" s="31" t="str">
        <f t="shared" si="1"/>
        <v/>
      </c>
    </row>
    <row r="126" spans="6:10" x14ac:dyDescent="0.25">
      <c r="F126" s="31" t="str">
        <f>IF(C126="", "", VLOOKUP(C126, 'Pricing Sheet'!A:G, 2, FALSE))</f>
        <v/>
      </c>
      <c r="G126" s="31" t="str">
        <f>IF(C126="","",VLOOKUP(C126,'Pricing Sheet'!A:G,4,FALSE))</f>
        <v/>
      </c>
      <c r="H126" s="31" t="str">
        <f>IF(C126="","",VLOOKUP(C126,'Pricing Sheet'!A:G,5,FALSE))</f>
        <v/>
      </c>
      <c r="I126" s="31" t="str">
        <f>IF(C126="","",VLOOKUP(C126,'Pricing Sheet'!A:G,7,FALSE))</f>
        <v/>
      </c>
      <c r="J126" s="31" t="str">
        <f t="shared" si="1"/>
        <v/>
      </c>
    </row>
    <row r="127" spans="6:10" x14ac:dyDescent="0.25">
      <c r="F127" s="31" t="str">
        <f>IF(C127="", "", VLOOKUP(C127, 'Pricing Sheet'!A:G, 2, FALSE))</f>
        <v/>
      </c>
      <c r="G127" s="31" t="str">
        <f>IF(C127="","",VLOOKUP(C127,'Pricing Sheet'!A:G,4,FALSE))</f>
        <v/>
      </c>
      <c r="H127" s="31" t="str">
        <f>IF(C127="","",VLOOKUP(C127,'Pricing Sheet'!A:G,5,FALSE))</f>
        <v/>
      </c>
      <c r="I127" s="31" t="str">
        <f>IF(C127="","",VLOOKUP(C127,'Pricing Sheet'!A:G,7,FALSE))</f>
        <v/>
      </c>
      <c r="J127" s="31" t="str">
        <f t="shared" si="1"/>
        <v/>
      </c>
    </row>
    <row r="128" spans="6:10" x14ac:dyDescent="0.25">
      <c r="F128" s="31" t="str">
        <f>IF(C128="", "", VLOOKUP(C128, 'Pricing Sheet'!A:G, 2, FALSE))</f>
        <v/>
      </c>
      <c r="G128" s="31" t="str">
        <f>IF(C128="","",VLOOKUP(C128,'Pricing Sheet'!A:G,4,FALSE))</f>
        <v/>
      </c>
      <c r="H128" s="31" t="str">
        <f>IF(C128="","",VLOOKUP(C128,'Pricing Sheet'!A:G,5,FALSE))</f>
        <v/>
      </c>
      <c r="I128" s="31" t="str">
        <f>IF(C128="","",VLOOKUP(C128,'Pricing Sheet'!A:G,7,FALSE))</f>
        <v/>
      </c>
      <c r="J128" s="31" t="str">
        <f t="shared" si="1"/>
        <v/>
      </c>
    </row>
    <row r="129" spans="6:10" x14ac:dyDescent="0.25">
      <c r="F129" s="31" t="str">
        <f>IF(C129="", "", VLOOKUP(C129, 'Pricing Sheet'!A:G, 2, FALSE))</f>
        <v/>
      </c>
      <c r="G129" s="31" t="str">
        <f>IF(C129="","",VLOOKUP(C129,'Pricing Sheet'!A:G,4,FALSE))</f>
        <v/>
      </c>
      <c r="H129" s="31" t="str">
        <f>IF(C129="","",VLOOKUP(C129,'Pricing Sheet'!A:G,5,FALSE))</f>
        <v/>
      </c>
      <c r="I129" s="31" t="str">
        <f>IF(C129="","",VLOOKUP(C129,'Pricing Sheet'!A:G,7,FALSE))</f>
        <v/>
      </c>
      <c r="J129" s="31" t="str">
        <f t="shared" si="1"/>
        <v/>
      </c>
    </row>
    <row r="130" spans="6:10" x14ac:dyDescent="0.25">
      <c r="F130" s="31" t="str">
        <f>IF(C130="", "", VLOOKUP(C130, 'Pricing Sheet'!A:G, 2, FALSE))</f>
        <v/>
      </c>
      <c r="G130" s="31" t="str">
        <f>IF(C130="","",VLOOKUP(C130,'Pricing Sheet'!A:G,4,FALSE))</f>
        <v/>
      </c>
      <c r="H130" s="31" t="str">
        <f>IF(C130="","",VLOOKUP(C130,'Pricing Sheet'!A:G,5,FALSE))</f>
        <v/>
      </c>
      <c r="I130" s="31" t="str">
        <f>IF(C130="","",VLOOKUP(C130,'Pricing Sheet'!A:G,7,FALSE))</f>
        <v/>
      </c>
      <c r="J130" s="31" t="str">
        <f t="shared" si="1"/>
        <v/>
      </c>
    </row>
    <row r="131" spans="6:10" x14ac:dyDescent="0.25">
      <c r="F131" s="31" t="str">
        <f>IF(C131="", "", VLOOKUP(C131, 'Pricing Sheet'!A:G, 2, FALSE))</f>
        <v/>
      </c>
      <c r="G131" s="31" t="str">
        <f>IF(C131="","",VLOOKUP(C131,'Pricing Sheet'!A:G,4,FALSE))</f>
        <v/>
      </c>
      <c r="H131" s="31" t="str">
        <f>IF(C131="","",VLOOKUP(C131,'Pricing Sheet'!A:G,5,FALSE))</f>
        <v/>
      </c>
      <c r="I131" s="31" t="str">
        <f>IF(C131="","",VLOOKUP(C131,'Pricing Sheet'!A:G,7,FALSE))</f>
        <v/>
      </c>
      <c r="J131" s="31" t="str">
        <f t="shared" ref="J131:J194" si="2">IF(B131="", "", "HPLC Purified")</f>
        <v/>
      </c>
    </row>
    <row r="132" spans="6:10" x14ac:dyDescent="0.25">
      <c r="F132" s="31" t="str">
        <f>IF(C132="", "", VLOOKUP(C132, 'Pricing Sheet'!A:G, 2, FALSE))</f>
        <v/>
      </c>
      <c r="G132" s="31" t="str">
        <f>IF(C132="","",VLOOKUP(C132,'Pricing Sheet'!A:G,4,FALSE))</f>
        <v/>
      </c>
      <c r="H132" s="31" t="str">
        <f>IF(C132="","",VLOOKUP(C132,'Pricing Sheet'!A:G,5,FALSE))</f>
        <v/>
      </c>
      <c r="I132" s="31" t="str">
        <f>IF(C132="","",VLOOKUP(C132,'Pricing Sheet'!A:G,7,FALSE))</f>
        <v/>
      </c>
      <c r="J132" s="31" t="str">
        <f t="shared" si="2"/>
        <v/>
      </c>
    </row>
    <row r="133" spans="6:10" x14ac:dyDescent="0.25">
      <c r="F133" s="31" t="str">
        <f>IF(C133="", "", VLOOKUP(C133, 'Pricing Sheet'!A:G, 2, FALSE))</f>
        <v/>
      </c>
      <c r="G133" s="31" t="str">
        <f>IF(C133="","",VLOOKUP(C133,'Pricing Sheet'!A:G,4,FALSE))</f>
        <v/>
      </c>
      <c r="H133" s="31" t="str">
        <f>IF(C133="","",VLOOKUP(C133,'Pricing Sheet'!A:G,5,FALSE))</f>
        <v/>
      </c>
      <c r="I133" s="31" t="str">
        <f>IF(C133="","",VLOOKUP(C133,'Pricing Sheet'!A:G,7,FALSE))</f>
        <v/>
      </c>
      <c r="J133" s="31" t="str">
        <f t="shared" si="2"/>
        <v/>
      </c>
    </row>
    <row r="134" spans="6:10" x14ac:dyDescent="0.25">
      <c r="F134" s="31" t="str">
        <f>IF(C134="", "", VLOOKUP(C134, 'Pricing Sheet'!A:G, 2, FALSE))</f>
        <v/>
      </c>
      <c r="G134" s="31" t="str">
        <f>IF(C134="","",VLOOKUP(C134,'Pricing Sheet'!A:G,4,FALSE))</f>
        <v/>
      </c>
      <c r="H134" s="31" t="str">
        <f>IF(C134="","",VLOOKUP(C134,'Pricing Sheet'!A:G,5,FALSE))</f>
        <v/>
      </c>
      <c r="I134" s="31" t="str">
        <f>IF(C134="","",VLOOKUP(C134,'Pricing Sheet'!A:G,7,FALSE))</f>
        <v/>
      </c>
      <c r="J134" s="31" t="str">
        <f t="shared" si="2"/>
        <v/>
      </c>
    </row>
    <row r="135" spans="6:10" x14ac:dyDescent="0.25">
      <c r="F135" s="31" t="str">
        <f>IF(C135="", "", VLOOKUP(C135, 'Pricing Sheet'!A:G, 2, FALSE))</f>
        <v/>
      </c>
      <c r="G135" s="31" t="str">
        <f>IF(C135="","",VLOOKUP(C135,'Pricing Sheet'!A:G,4,FALSE))</f>
        <v/>
      </c>
      <c r="H135" s="31" t="str">
        <f>IF(C135="","",VLOOKUP(C135,'Pricing Sheet'!A:G,5,FALSE))</f>
        <v/>
      </c>
      <c r="I135" s="31" t="str">
        <f>IF(C135="","",VLOOKUP(C135,'Pricing Sheet'!A:G,7,FALSE))</f>
        <v/>
      </c>
      <c r="J135" s="31" t="str">
        <f t="shared" si="2"/>
        <v/>
      </c>
    </row>
    <row r="136" spans="6:10" x14ac:dyDescent="0.25">
      <c r="F136" s="31" t="str">
        <f>IF(C136="", "", VLOOKUP(C136, 'Pricing Sheet'!A:G, 2, FALSE))</f>
        <v/>
      </c>
      <c r="G136" s="31" t="str">
        <f>IF(C136="","",VLOOKUP(C136,'Pricing Sheet'!A:G,4,FALSE))</f>
        <v/>
      </c>
      <c r="H136" s="31" t="str">
        <f>IF(C136="","",VLOOKUP(C136,'Pricing Sheet'!A:G,5,FALSE))</f>
        <v/>
      </c>
      <c r="I136" s="31" t="str">
        <f>IF(C136="","",VLOOKUP(C136,'Pricing Sheet'!A:G,7,FALSE))</f>
        <v/>
      </c>
      <c r="J136" s="31" t="str">
        <f t="shared" si="2"/>
        <v/>
      </c>
    </row>
    <row r="137" spans="6:10" x14ac:dyDescent="0.25">
      <c r="F137" s="31" t="str">
        <f>IF(C137="", "", VLOOKUP(C137, 'Pricing Sheet'!A:G, 2, FALSE))</f>
        <v/>
      </c>
      <c r="G137" s="31" t="str">
        <f>IF(C137="","",VLOOKUP(C137,'Pricing Sheet'!A:G,4,FALSE))</f>
        <v/>
      </c>
      <c r="H137" s="31" t="str">
        <f>IF(C137="","",VLOOKUP(C137,'Pricing Sheet'!A:G,5,FALSE))</f>
        <v/>
      </c>
      <c r="I137" s="31" t="str">
        <f>IF(C137="","",VLOOKUP(C137,'Pricing Sheet'!A:G,7,FALSE))</f>
        <v/>
      </c>
      <c r="J137" s="31" t="str">
        <f t="shared" si="2"/>
        <v/>
      </c>
    </row>
    <row r="138" spans="6:10" x14ac:dyDescent="0.25">
      <c r="F138" s="31" t="str">
        <f>IF(C138="", "", VLOOKUP(C138, 'Pricing Sheet'!A:G, 2, FALSE))</f>
        <v/>
      </c>
      <c r="G138" s="31" t="str">
        <f>IF(C138="","",VLOOKUP(C138,'Pricing Sheet'!A:G,4,FALSE))</f>
        <v/>
      </c>
      <c r="H138" s="31" t="str">
        <f>IF(C138="","",VLOOKUP(C138,'Pricing Sheet'!A:G,5,FALSE))</f>
        <v/>
      </c>
      <c r="I138" s="31" t="str">
        <f>IF(C138="","",VLOOKUP(C138,'Pricing Sheet'!A:G,7,FALSE))</f>
        <v/>
      </c>
      <c r="J138" s="31" t="str">
        <f t="shared" si="2"/>
        <v/>
      </c>
    </row>
    <row r="139" spans="6:10" x14ac:dyDescent="0.25">
      <c r="F139" s="31" t="str">
        <f>IF(C139="", "", VLOOKUP(C139, 'Pricing Sheet'!A:G, 2, FALSE))</f>
        <v/>
      </c>
      <c r="G139" s="31" t="str">
        <f>IF(C139="","",VLOOKUP(C139,'Pricing Sheet'!A:G,4,FALSE))</f>
        <v/>
      </c>
      <c r="H139" s="31" t="str">
        <f>IF(C139="","",VLOOKUP(C139,'Pricing Sheet'!A:G,5,FALSE))</f>
        <v/>
      </c>
      <c r="I139" s="31" t="str">
        <f>IF(C139="","",VLOOKUP(C139,'Pricing Sheet'!A:G,7,FALSE))</f>
        <v/>
      </c>
      <c r="J139" s="31" t="str">
        <f t="shared" si="2"/>
        <v/>
      </c>
    </row>
    <row r="140" spans="6:10" x14ac:dyDescent="0.25">
      <c r="F140" s="31" t="str">
        <f>IF(C140="", "", VLOOKUP(C140, 'Pricing Sheet'!A:G, 2, FALSE))</f>
        <v/>
      </c>
      <c r="G140" s="31" t="str">
        <f>IF(C140="","",VLOOKUP(C140,'Pricing Sheet'!A:G,4,FALSE))</f>
        <v/>
      </c>
      <c r="H140" s="31" t="str">
        <f>IF(C140="","",VLOOKUP(C140,'Pricing Sheet'!A:G,5,FALSE))</f>
        <v/>
      </c>
      <c r="I140" s="31" t="str">
        <f>IF(C140="","",VLOOKUP(C140,'Pricing Sheet'!A:G,7,FALSE))</f>
        <v/>
      </c>
      <c r="J140" s="31" t="str">
        <f t="shared" si="2"/>
        <v/>
      </c>
    </row>
    <row r="141" spans="6:10" x14ac:dyDescent="0.25">
      <c r="F141" s="31" t="str">
        <f>IF(C141="", "", VLOOKUP(C141, 'Pricing Sheet'!A:G, 2, FALSE))</f>
        <v/>
      </c>
      <c r="G141" s="31" t="str">
        <f>IF(C141="","",VLOOKUP(C141,'Pricing Sheet'!A:G,4,FALSE))</f>
        <v/>
      </c>
      <c r="H141" s="31" t="str">
        <f>IF(C141="","",VLOOKUP(C141,'Pricing Sheet'!A:G,5,FALSE))</f>
        <v/>
      </c>
      <c r="I141" s="31" t="str">
        <f>IF(C141="","",VLOOKUP(C141,'Pricing Sheet'!A:G,7,FALSE))</f>
        <v/>
      </c>
      <c r="J141" s="31" t="str">
        <f t="shared" si="2"/>
        <v/>
      </c>
    </row>
    <row r="142" spans="6:10" x14ac:dyDescent="0.25">
      <c r="F142" s="31" t="str">
        <f>IF(C142="", "", VLOOKUP(C142, 'Pricing Sheet'!A:G, 2, FALSE))</f>
        <v/>
      </c>
      <c r="G142" s="31" t="str">
        <f>IF(C142="","",VLOOKUP(C142,'Pricing Sheet'!A:G,4,FALSE))</f>
        <v/>
      </c>
      <c r="H142" s="31" t="str">
        <f>IF(C142="","",VLOOKUP(C142,'Pricing Sheet'!A:G,5,FALSE))</f>
        <v/>
      </c>
      <c r="I142" s="31" t="str">
        <f>IF(C142="","",VLOOKUP(C142,'Pricing Sheet'!A:G,7,FALSE))</f>
        <v/>
      </c>
      <c r="J142" s="31" t="str">
        <f t="shared" si="2"/>
        <v/>
      </c>
    </row>
    <row r="143" spans="6:10" x14ac:dyDescent="0.25">
      <c r="F143" s="31" t="str">
        <f>IF(C143="", "", VLOOKUP(C143, 'Pricing Sheet'!A:G, 2, FALSE))</f>
        <v/>
      </c>
      <c r="G143" s="31" t="str">
        <f>IF(C143="","",VLOOKUP(C143,'Pricing Sheet'!A:G,4,FALSE))</f>
        <v/>
      </c>
      <c r="H143" s="31" t="str">
        <f>IF(C143="","",VLOOKUP(C143,'Pricing Sheet'!A:G,5,FALSE))</f>
        <v/>
      </c>
      <c r="I143" s="31" t="str">
        <f>IF(C143="","",VLOOKUP(C143,'Pricing Sheet'!A:G,7,FALSE))</f>
        <v/>
      </c>
      <c r="J143" s="31" t="str">
        <f t="shared" si="2"/>
        <v/>
      </c>
    </row>
    <row r="144" spans="6:10" x14ac:dyDescent="0.25">
      <c r="F144" s="31" t="str">
        <f>IF(C144="", "", VLOOKUP(C144, 'Pricing Sheet'!A:G, 2, FALSE))</f>
        <v/>
      </c>
      <c r="G144" s="31" t="str">
        <f>IF(C144="","",VLOOKUP(C144,'Pricing Sheet'!A:G,4,FALSE))</f>
        <v/>
      </c>
      <c r="H144" s="31" t="str">
        <f>IF(C144="","",VLOOKUP(C144,'Pricing Sheet'!A:G,5,FALSE))</f>
        <v/>
      </c>
      <c r="I144" s="31" t="str">
        <f>IF(C144="","",VLOOKUP(C144,'Pricing Sheet'!A:G,7,FALSE))</f>
        <v/>
      </c>
      <c r="J144" s="31" t="str">
        <f t="shared" si="2"/>
        <v/>
      </c>
    </row>
    <row r="145" spans="6:10" x14ac:dyDescent="0.25">
      <c r="F145" s="31" t="str">
        <f>IF(C145="", "", VLOOKUP(C145, 'Pricing Sheet'!A:G, 2, FALSE))</f>
        <v/>
      </c>
      <c r="G145" s="31" t="str">
        <f>IF(C145="","",VLOOKUP(C145,'Pricing Sheet'!A:G,4,FALSE))</f>
        <v/>
      </c>
      <c r="H145" s="31" t="str">
        <f>IF(C145="","",VLOOKUP(C145,'Pricing Sheet'!A:G,5,FALSE))</f>
        <v/>
      </c>
      <c r="I145" s="31" t="str">
        <f>IF(C145="","",VLOOKUP(C145,'Pricing Sheet'!A:G,7,FALSE))</f>
        <v/>
      </c>
      <c r="J145" s="31" t="str">
        <f t="shared" si="2"/>
        <v/>
      </c>
    </row>
    <row r="146" spans="6:10" x14ac:dyDescent="0.25">
      <c r="F146" s="31" t="str">
        <f>IF(C146="", "", VLOOKUP(C146, 'Pricing Sheet'!A:G, 2, FALSE))</f>
        <v/>
      </c>
      <c r="G146" s="31" t="str">
        <f>IF(C146="","",VLOOKUP(C146,'Pricing Sheet'!A:G,4,FALSE))</f>
        <v/>
      </c>
      <c r="H146" s="31" t="str">
        <f>IF(C146="","",VLOOKUP(C146,'Pricing Sheet'!A:G,5,FALSE))</f>
        <v/>
      </c>
      <c r="I146" s="31" t="str">
        <f>IF(C146="","",VLOOKUP(C146,'Pricing Sheet'!A:G,7,FALSE))</f>
        <v/>
      </c>
      <c r="J146" s="31" t="str">
        <f t="shared" si="2"/>
        <v/>
      </c>
    </row>
    <row r="147" spans="6:10" x14ac:dyDescent="0.25">
      <c r="F147" s="31" t="str">
        <f>IF(C147="", "", VLOOKUP(C147, 'Pricing Sheet'!A:G, 2, FALSE))</f>
        <v/>
      </c>
      <c r="G147" s="31" t="str">
        <f>IF(C147="","",VLOOKUP(C147,'Pricing Sheet'!A:G,4,FALSE))</f>
        <v/>
      </c>
      <c r="H147" s="31" t="str">
        <f>IF(C147="","",VLOOKUP(C147,'Pricing Sheet'!A:G,5,FALSE))</f>
        <v/>
      </c>
      <c r="I147" s="31" t="str">
        <f>IF(C147="","",VLOOKUP(C147,'Pricing Sheet'!A:G,7,FALSE))</f>
        <v/>
      </c>
      <c r="J147" s="31" t="str">
        <f t="shared" si="2"/>
        <v/>
      </c>
    </row>
    <row r="148" spans="6:10" x14ac:dyDescent="0.25">
      <c r="F148" s="31" t="str">
        <f>IF(C148="", "", VLOOKUP(C148, 'Pricing Sheet'!A:G, 2, FALSE))</f>
        <v/>
      </c>
      <c r="G148" s="31" t="str">
        <f>IF(C148="","",VLOOKUP(C148,'Pricing Sheet'!A:G,4,FALSE))</f>
        <v/>
      </c>
      <c r="H148" s="31" t="str">
        <f>IF(C148="","",VLOOKUP(C148,'Pricing Sheet'!A:G,5,FALSE))</f>
        <v/>
      </c>
      <c r="I148" s="31" t="str">
        <f>IF(C148="","",VLOOKUP(C148,'Pricing Sheet'!A:G,7,FALSE))</f>
        <v/>
      </c>
      <c r="J148" s="31" t="str">
        <f t="shared" si="2"/>
        <v/>
      </c>
    </row>
    <row r="149" spans="6:10" x14ac:dyDescent="0.25">
      <c r="F149" s="31" t="str">
        <f>IF(C149="", "", VLOOKUP(C149, 'Pricing Sheet'!A:G, 2, FALSE))</f>
        <v/>
      </c>
      <c r="G149" s="31" t="str">
        <f>IF(C149="","",VLOOKUP(C149,'Pricing Sheet'!A:G,4,FALSE))</f>
        <v/>
      </c>
      <c r="H149" s="31" t="str">
        <f>IF(C149="","",VLOOKUP(C149,'Pricing Sheet'!A:G,5,FALSE))</f>
        <v/>
      </c>
      <c r="I149" s="31" t="str">
        <f>IF(C149="","",VLOOKUP(C149,'Pricing Sheet'!A:G,7,FALSE))</f>
        <v/>
      </c>
      <c r="J149" s="31" t="str">
        <f t="shared" si="2"/>
        <v/>
      </c>
    </row>
    <row r="150" spans="6:10" x14ac:dyDescent="0.25">
      <c r="F150" s="31" t="str">
        <f>IF(C150="", "", VLOOKUP(C150, 'Pricing Sheet'!A:G, 2, FALSE))</f>
        <v/>
      </c>
      <c r="G150" s="31" t="str">
        <f>IF(C150="","",VLOOKUP(C150,'Pricing Sheet'!A:G,4,FALSE))</f>
        <v/>
      </c>
      <c r="H150" s="31" t="str">
        <f>IF(C150="","",VLOOKUP(C150,'Pricing Sheet'!A:G,5,FALSE))</f>
        <v/>
      </c>
      <c r="I150" s="31" t="str">
        <f>IF(C150="","",VLOOKUP(C150,'Pricing Sheet'!A:G,7,FALSE))</f>
        <v/>
      </c>
      <c r="J150" s="31" t="str">
        <f t="shared" si="2"/>
        <v/>
      </c>
    </row>
    <row r="151" spans="6:10" x14ac:dyDescent="0.25">
      <c r="F151" s="31" t="str">
        <f>IF(C151="", "", VLOOKUP(C151, 'Pricing Sheet'!A:G, 2, FALSE))</f>
        <v/>
      </c>
      <c r="G151" s="31" t="str">
        <f>IF(C151="","",VLOOKUP(C151,'Pricing Sheet'!A:G,4,FALSE))</f>
        <v/>
      </c>
      <c r="H151" s="31" t="str">
        <f>IF(C151="","",VLOOKUP(C151,'Pricing Sheet'!A:G,5,FALSE))</f>
        <v/>
      </c>
      <c r="I151" s="31" t="str">
        <f>IF(C151="","",VLOOKUP(C151,'Pricing Sheet'!A:G,7,FALSE))</f>
        <v/>
      </c>
      <c r="J151" s="31" t="str">
        <f t="shared" si="2"/>
        <v/>
      </c>
    </row>
    <row r="152" spans="6:10" x14ac:dyDescent="0.25">
      <c r="F152" s="31" t="str">
        <f>IF(C152="", "", VLOOKUP(C152, 'Pricing Sheet'!A:G, 2, FALSE))</f>
        <v/>
      </c>
      <c r="G152" s="31" t="str">
        <f>IF(C152="","",VLOOKUP(C152,'Pricing Sheet'!A:G,4,FALSE))</f>
        <v/>
      </c>
      <c r="H152" s="31" t="str">
        <f>IF(C152="","",VLOOKUP(C152,'Pricing Sheet'!A:G,5,FALSE))</f>
        <v/>
      </c>
      <c r="I152" s="31" t="str">
        <f>IF(C152="","",VLOOKUP(C152,'Pricing Sheet'!A:G,7,FALSE))</f>
        <v/>
      </c>
      <c r="J152" s="31" t="str">
        <f t="shared" si="2"/>
        <v/>
      </c>
    </row>
    <row r="153" spans="6:10" x14ac:dyDescent="0.25">
      <c r="F153" s="31" t="str">
        <f>IF(C153="", "", VLOOKUP(C153, 'Pricing Sheet'!A:G, 2, FALSE))</f>
        <v/>
      </c>
      <c r="G153" s="31" t="str">
        <f>IF(C153="","",VLOOKUP(C153,'Pricing Sheet'!A:G,4,FALSE))</f>
        <v/>
      </c>
      <c r="H153" s="31" t="str">
        <f>IF(C153="","",VLOOKUP(C153,'Pricing Sheet'!A:G,5,FALSE))</f>
        <v/>
      </c>
      <c r="I153" s="31" t="str">
        <f>IF(C153="","",VLOOKUP(C153,'Pricing Sheet'!A:G,7,FALSE))</f>
        <v/>
      </c>
      <c r="J153" s="31" t="str">
        <f t="shared" si="2"/>
        <v/>
      </c>
    </row>
    <row r="154" spans="6:10" x14ac:dyDescent="0.25">
      <c r="F154" s="31" t="str">
        <f>IF(C154="", "", VLOOKUP(C154, 'Pricing Sheet'!A:G, 2, FALSE))</f>
        <v/>
      </c>
      <c r="G154" s="31" t="str">
        <f>IF(C154="","",VLOOKUP(C154,'Pricing Sheet'!A:G,4,FALSE))</f>
        <v/>
      </c>
      <c r="H154" s="31" t="str">
        <f>IF(C154="","",VLOOKUP(C154,'Pricing Sheet'!A:G,5,FALSE))</f>
        <v/>
      </c>
      <c r="I154" s="31" t="str">
        <f>IF(C154="","",VLOOKUP(C154,'Pricing Sheet'!A:G,7,FALSE))</f>
        <v/>
      </c>
      <c r="J154" s="31" t="str">
        <f t="shared" si="2"/>
        <v/>
      </c>
    </row>
    <row r="155" spans="6:10" x14ac:dyDescent="0.25">
      <c r="F155" s="31" t="str">
        <f>IF(C155="", "", VLOOKUP(C155, 'Pricing Sheet'!A:G, 2, FALSE))</f>
        <v/>
      </c>
      <c r="G155" s="31" t="str">
        <f>IF(C155="","",VLOOKUP(C155,'Pricing Sheet'!A:G,4,FALSE))</f>
        <v/>
      </c>
      <c r="H155" s="31" t="str">
        <f>IF(C155="","",VLOOKUP(C155,'Pricing Sheet'!A:G,5,FALSE))</f>
        <v/>
      </c>
      <c r="I155" s="31" t="str">
        <f>IF(C155="","",VLOOKUP(C155,'Pricing Sheet'!A:G,7,FALSE))</f>
        <v/>
      </c>
      <c r="J155" s="31" t="str">
        <f t="shared" si="2"/>
        <v/>
      </c>
    </row>
    <row r="156" spans="6:10" x14ac:dyDescent="0.25">
      <c r="F156" s="31" t="str">
        <f>IF(C156="", "", VLOOKUP(C156, 'Pricing Sheet'!A:G, 2, FALSE))</f>
        <v/>
      </c>
      <c r="G156" s="31" t="str">
        <f>IF(C156="","",VLOOKUP(C156,'Pricing Sheet'!A:G,4,FALSE))</f>
        <v/>
      </c>
      <c r="H156" s="31" t="str">
        <f>IF(C156="","",VLOOKUP(C156,'Pricing Sheet'!A:G,5,FALSE))</f>
        <v/>
      </c>
      <c r="I156" s="31" t="str">
        <f>IF(C156="","",VLOOKUP(C156,'Pricing Sheet'!A:G,7,FALSE))</f>
        <v/>
      </c>
      <c r="J156" s="31" t="str">
        <f t="shared" si="2"/>
        <v/>
      </c>
    </row>
    <row r="157" spans="6:10" x14ac:dyDescent="0.25">
      <c r="F157" s="31" t="str">
        <f>IF(C157="", "", VLOOKUP(C157, 'Pricing Sheet'!A:G, 2, FALSE))</f>
        <v/>
      </c>
      <c r="G157" s="31" t="str">
        <f>IF(C157="","",VLOOKUP(C157,'Pricing Sheet'!A:G,4,FALSE))</f>
        <v/>
      </c>
      <c r="H157" s="31" t="str">
        <f>IF(C157="","",VLOOKUP(C157,'Pricing Sheet'!A:G,5,FALSE))</f>
        <v/>
      </c>
      <c r="I157" s="31" t="str">
        <f>IF(C157="","",VLOOKUP(C157,'Pricing Sheet'!A:G,7,FALSE))</f>
        <v/>
      </c>
      <c r="J157" s="31" t="str">
        <f t="shared" si="2"/>
        <v/>
      </c>
    </row>
    <row r="158" spans="6:10" x14ac:dyDescent="0.25">
      <c r="F158" s="31" t="str">
        <f>IF(C158="", "", VLOOKUP(C158, 'Pricing Sheet'!A:G, 2, FALSE))</f>
        <v/>
      </c>
      <c r="G158" s="31" t="str">
        <f>IF(C158="","",VLOOKUP(C158,'Pricing Sheet'!A:G,4,FALSE))</f>
        <v/>
      </c>
      <c r="H158" s="31" t="str">
        <f>IF(C158="","",VLOOKUP(C158,'Pricing Sheet'!A:G,5,FALSE))</f>
        <v/>
      </c>
      <c r="I158" s="31" t="str">
        <f>IF(C158="","",VLOOKUP(C158,'Pricing Sheet'!A:G,7,FALSE))</f>
        <v/>
      </c>
      <c r="J158" s="31" t="str">
        <f t="shared" si="2"/>
        <v/>
      </c>
    </row>
    <row r="159" spans="6:10" x14ac:dyDescent="0.25">
      <c r="F159" s="31" t="str">
        <f>IF(C159="", "", VLOOKUP(C159, 'Pricing Sheet'!A:G, 2, FALSE))</f>
        <v/>
      </c>
      <c r="G159" s="31" t="str">
        <f>IF(C159="","",VLOOKUP(C159,'Pricing Sheet'!A:G,4,FALSE))</f>
        <v/>
      </c>
      <c r="H159" s="31" t="str">
        <f>IF(C159="","",VLOOKUP(C159,'Pricing Sheet'!A:G,5,FALSE))</f>
        <v/>
      </c>
      <c r="I159" s="31" t="str">
        <f>IF(C159="","",VLOOKUP(C159,'Pricing Sheet'!A:G,7,FALSE))</f>
        <v/>
      </c>
      <c r="J159" s="31" t="str">
        <f t="shared" si="2"/>
        <v/>
      </c>
    </row>
    <row r="160" spans="6:10" x14ac:dyDescent="0.25">
      <c r="F160" s="31" t="str">
        <f>IF(C160="", "", VLOOKUP(C160, 'Pricing Sheet'!A:G, 2, FALSE))</f>
        <v/>
      </c>
      <c r="G160" s="31" t="str">
        <f>IF(C160="","",VLOOKUP(C160,'Pricing Sheet'!A:G,4,FALSE))</f>
        <v/>
      </c>
      <c r="H160" s="31" t="str">
        <f>IF(C160="","",VLOOKUP(C160,'Pricing Sheet'!A:G,5,FALSE))</f>
        <v/>
      </c>
      <c r="I160" s="31" t="str">
        <f>IF(C160="","",VLOOKUP(C160,'Pricing Sheet'!A:G,7,FALSE))</f>
        <v/>
      </c>
      <c r="J160" s="31" t="str">
        <f t="shared" si="2"/>
        <v/>
      </c>
    </row>
    <row r="161" spans="6:10" x14ac:dyDescent="0.25">
      <c r="F161" s="31" t="str">
        <f>IF(C161="", "", VLOOKUP(C161, 'Pricing Sheet'!A:G, 2, FALSE))</f>
        <v/>
      </c>
      <c r="G161" s="31" t="str">
        <f>IF(C161="","",VLOOKUP(C161,'Pricing Sheet'!A:G,4,FALSE))</f>
        <v/>
      </c>
      <c r="H161" s="31" t="str">
        <f>IF(C161="","",VLOOKUP(C161,'Pricing Sheet'!A:G,5,FALSE))</f>
        <v/>
      </c>
      <c r="I161" s="31" t="str">
        <f>IF(C161="","",VLOOKUP(C161,'Pricing Sheet'!A:G,7,FALSE))</f>
        <v/>
      </c>
      <c r="J161" s="31" t="str">
        <f t="shared" si="2"/>
        <v/>
      </c>
    </row>
    <row r="162" spans="6:10" x14ac:dyDescent="0.25">
      <c r="F162" s="31" t="str">
        <f>IF(C162="", "", VLOOKUP(C162, 'Pricing Sheet'!A:G, 2, FALSE))</f>
        <v/>
      </c>
      <c r="G162" s="31" t="str">
        <f>IF(C162="","",VLOOKUP(C162,'Pricing Sheet'!A:G,4,FALSE))</f>
        <v/>
      </c>
      <c r="H162" s="31" t="str">
        <f>IF(C162="","",VLOOKUP(C162,'Pricing Sheet'!A:G,5,FALSE))</f>
        <v/>
      </c>
      <c r="I162" s="31" t="str">
        <f>IF(C162="","",VLOOKUP(C162,'Pricing Sheet'!A:G,7,FALSE))</f>
        <v/>
      </c>
      <c r="J162" s="31" t="str">
        <f t="shared" si="2"/>
        <v/>
      </c>
    </row>
    <row r="163" spans="6:10" x14ac:dyDescent="0.25">
      <c r="F163" s="31" t="str">
        <f>IF(C163="", "", VLOOKUP(C163, 'Pricing Sheet'!A:G, 2, FALSE))</f>
        <v/>
      </c>
      <c r="G163" s="31" t="str">
        <f>IF(C163="","",VLOOKUP(C163,'Pricing Sheet'!A:G,4,FALSE))</f>
        <v/>
      </c>
      <c r="H163" s="31" t="str">
        <f>IF(C163="","",VLOOKUP(C163,'Pricing Sheet'!A:G,5,FALSE))</f>
        <v/>
      </c>
      <c r="I163" s="31" t="str">
        <f>IF(C163="","",VLOOKUP(C163,'Pricing Sheet'!A:G,7,FALSE))</f>
        <v/>
      </c>
      <c r="J163" s="31" t="str">
        <f t="shared" si="2"/>
        <v/>
      </c>
    </row>
    <row r="164" spans="6:10" x14ac:dyDescent="0.25">
      <c r="F164" s="31" t="str">
        <f>IF(C164="", "", VLOOKUP(C164, 'Pricing Sheet'!A:G, 2, FALSE))</f>
        <v/>
      </c>
      <c r="G164" s="31" t="str">
        <f>IF(C164="","",VLOOKUP(C164,'Pricing Sheet'!A:G,4,FALSE))</f>
        <v/>
      </c>
      <c r="H164" s="31" t="str">
        <f>IF(C164="","",VLOOKUP(C164,'Pricing Sheet'!A:G,5,FALSE))</f>
        <v/>
      </c>
      <c r="I164" s="31" t="str">
        <f>IF(C164="","",VLOOKUP(C164,'Pricing Sheet'!A:G,7,FALSE))</f>
        <v/>
      </c>
      <c r="J164" s="31" t="str">
        <f t="shared" si="2"/>
        <v/>
      </c>
    </row>
    <row r="165" spans="6:10" x14ac:dyDescent="0.25">
      <c r="F165" s="31" t="str">
        <f>IF(C165="", "", VLOOKUP(C165, 'Pricing Sheet'!A:G, 2, FALSE))</f>
        <v/>
      </c>
      <c r="G165" s="31" t="str">
        <f>IF(C165="","",VLOOKUP(C165,'Pricing Sheet'!A:G,4,FALSE))</f>
        <v/>
      </c>
      <c r="H165" s="31" t="str">
        <f>IF(C165="","",VLOOKUP(C165,'Pricing Sheet'!A:G,5,FALSE))</f>
        <v/>
      </c>
      <c r="I165" s="31" t="str">
        <f>IF(C165="","",VLOOKUP(C165,'Pricing Sheet'!A:G,7,FALSE))</f>
        <v/>
      </c>
      <c r="J165" s="31" t="str">
        <f t="shared" si="2"/>
        <v/>
      </c>
    </row>
    <row r="166" spans="6:10" x14ac:dyDescent="0.25">
      <c r="F166" s="31" t="str">
        <f>IF(C166="", "", VLOOKUP(C166, 'Pricing Sheet'!A:G, 2, FALSE))</f>
        <v/>
      </c>
      <c r="G166" s="31" t="str">
        <f>IF(C166="","",VLOOKUP(C166,'Pricing Sheet'!A:G,4,FALSE))</f>
        <v/>
      </c>
      <c r="H166" s="31" t="str">
        <f>IF(C166="","",VLOOKUP(C166,'Pricing Sheet'!A:G,5,FALSE))</f>
        <v/>
      </c>
      <c r="I166" s="31" t="str">
        <f>IF(C166="","",VLOOKUP(C166,'Pricing Sheet'!A:G,7,FALSE))</f>
        <v/>
      </c>
      <c r="J166" s="31" t="str">
        <f t="shared" si="2"/>
        <v/>
      </c>
    </row>
    <row r="167" spans="6:10" x14ac:dyDescent="0.25">
      <c r="F167" s="31" t="str">
        <f>IF(C167="", "", VLOOKUP(C167, 'Pricing Sheet'!A:G, 2, FALSE))</f>
        <v/>
      </c>
      <c r="G167" s="31" t="str">
        <f>IF(C167="","",VLOOKUP(C167,'Pricing Sheet'!A:G,4,FALSE))</f>
        <v/>
      </c>
      <c r="H167" s="31" t="str">
        <f>IF(C167="","",VLOOKUP(C167,'Pricing Sheet'!A:G,5,FALSE))</f>
        <v/>
      </c>
      <c r="I167" s="31" t="str">
        <f>IF(C167="","",VLOOKUP(C167,'Pricing Sheet'!A:G,7,FALSE))</f>
        <v/>
      </c>
      <c r="J167" s="31" t="str">
        <f t="shared" si="2"/>
        <v/>
      </c>
    </row>
    <row r="168" spans="6:10" x14ac:dyDescent="0.25">
      <c r="F168" s="31" t="str">
        <f>IF(C168="", "", VLOOKUP(C168, 'Pricing Sheet'!A:G, 2, FALSE))</f>
        <v/>
      </c>
      <c r="G168" s="31" t="str">
        <f>IF(C168="","",VLOOKUP(C168,'Pricing Sheet'!A:G,4,FALSE))</f>
        <v/>
      </c>
      <c r="H168" s="31" t="str">
        <f>IF(C168="","",VLOOKUP(C168,'Pricing Sheet'!A:G,5,FALSE))</f>
        <v/>
      </c>
      <c r="I168" s="31" t="str">
        <f>IF(C168="","",VLOOKUP(C168,'Pricing Sheet'!A:G,7,FALSE))</f>
        <v/>
      </c>
      <c r="J168" s="31" t="str">
        <f t="shared" si="2"/>
        <v/>
      </c>
    </row>
    <row r="169" spans="6:10" x14ac:dyDescent="0.25">
      <c r="F169" s="31" t="str">
        <f>IF(C169="", "", VLOOKUP(C169, 'Pricing Sheet'!A:G, 2, FALSE))</f>
        <v/>
      </c>
      <c r="G169" s="31" t="str">
        <f>IF(C169="","",VLOOKUP(C169,'Pricing Sheet'!A:G,4,FALSE))</f>
        <v/>
      </c>
      <c r="H169" s="31" t="str">
        <f>IF(C169="","",VLOOKUP(C169,'Pricing Sheet'!A:G,5,FALSE))</f>
        <v/>
      </c>
      <c r="I169" s="31" t="str">
        <f>IF(C169="","",VLOOKUP(C169,'Pricing Sheet'!A:G,7,FALSE))</f>
        <v/>
      </c>
      <c r="J169" s="31" t="str">
        <f t="shared" si="2"/>
        <v/>
      </c>
    </row>
    <row r="170" spans="6:10" x14ac:dyDescent="0.25">
      <c r="F170" s="31" t="str">
        <f>IF(C170="", "", VLOOKUP(C170, 'Pricing Sheet'!A:G, 2, FALSE))</f>
        <v/>
      </c>
      <c r="G170" s="31" t="str">
        <f>IF(C170="","",VLOOKUP(C170,'Pricing Sheet'!A:G,4,FALSE))</f>
        <v/>
      </c>
      <c r="H170" s="31" t="str">
        <f>IF(C170="","",VLOOKUP(C170,'Pricing Sheet'!A:G,5,FALSE))</f>
        <v/>
      </c>
      <c r="I170" s="31" t="str">
        <f>IF(C170="","",VLOOKUP(C170,'Pricing Sheet'!A:G,7,FALSE))</f>
        <v/>
      </c>
      <c r="J170" s="31" t="str">
        <f t="shared" si="2"/>
        <v/>
      </c>
    </row>
    <row r="171" spans="6:10" x14ac:dyDescent="0.25">
      <c r="F171" s="31" t="str">
        <f>IF(C171="", "", VLOOKUP(C171, 'Pricing Sheet'!A:G, 2, FALSE))</f>
        <v/>
      </c>
      <c r="G171" s="31" t="str">
        <f>IF(C171="","",VLOOKUP(C171,'Pricing Sheet'!A:G,4,FALSE))</f>
        <v/>
      </c>
      <c r="H171" s="31" t="str">
        <f>IF(C171="","",VLOOKUP(C171,'Pricing Sheet'!A:G,5,FALSE))</f>
        <v/>
      </c>
      <c r="I171" s="31" t="str">
        <f>IF(C171="","",VLOOKUP(C171,'Pricing Sheet'!A:G,7,FALSE))</f>
        <v/>
      </c>
      <c r="J171" s="31" t="str">
        <f t="shared" si="2"/>
        <v/>
      </c>
    </row>
    <row r="172" spans="6:10" x14ac:dyDescent="0.25">
      <c r="F172" s="31" t="str">
        <f>IF(C172="", "", VLOOKUP(C172, 'Pricing Sheet'!A:G, 2, FALSE))</f>
        <v/>
      </c>
      <c r="G172" s="31" t="str">
        <f>IF(C172="","",VLOOKUP(C172,'Pricing Sheet'!A:G,4,FALSE))</f>
        <v/>
      </c>
      <c r="H172" s="31" t="str">
        <f>IF(C172="","",VLOOKUP(C172,'Pricing Sheet'!A:G,5,FALSE))</f>
        <v/>
      </c>
      <c r="I172" s="31" t="str">
        <f>IF(C172="","",VLOOKUP(C172,'Pricing Sheet'!A:G,7,FALSE))</f>
        <v/>
      </c>
      <c r="J172" s="31" t="str">
        <f t="shared" si="2"/>
        <v/>
      </c>
    </row>
    <row r="173" spans="6:10" x14ac:dyDescent="0.25">
      <c r="F173" s="31" t="str">
        <f>IF(C173="", "", VLOOKUP(C173, 'Pricing Sheet'!A:G, 2, FALSE))</f>
        <v/>
      </c>
      <c r="G173" s="31" t="str">
        <f>IF(C173="","",VLOOKUP(C173,'Pricing Sheet'!A:G,4,FALSE))</f>
        <v/>
      </c>
      <c r="H173" s="31" t="str">
        <f>IF(C173="","",VLOOKUP(C173,'Pricing Sheet'!A:G,5,FALSE))</f>
        <v/>
      </c>
      <c r="I173" s="31" t="str">
        <f>IF(C173="","",VLOOKUP(C173,'Pricing Sheet'!A:G,7,FALSE))</f>
        <v/>
      </c>
      <c r="J173" s="31" t="str">
        <f t="shared" si="2"/>
        <v/>
      </c>
    </row>
    <row r="174" spans="6:10" x14ac:dyDescent="0.25">
      <c r="F174" s="31" t="str">
        <f>IF(C174="", "", VLOOKUP(C174, 'Pricing Sheet'!A:G, 2, FALSE))</f>
        <v/>
      </c>
      <c r="G174" s="31" t="str">
        <f>IF(C174="","",VLOOKUP(C174,'Pricing Sheet'!A:G,4,FALSE))</f>
        <v/>
      </c>
      <c r="H174" s="31" t="str">
        <f>IF(C174="","",VLOOKUP(C174,'Pricing Sheet'!A:G,5,FALSE))</f>
        <v/>
      </c>
      <c r="I174" s="31" t="str">
        <f>IF(C174="","",VLOOKUP(C174,'Pricing Sheet'!A:G,7,FALSE))</f>
        <v/>
      </c>
      <c r="J174" s="31" t="str">
        <f t="shared" si="2"/>
        <v/>
      </c>
    </row>
    <row r="175" spans="6:10" x14ac:dyDescent="0.25">
      <c r="F175" s="31" t="str">
        <f>IF(C175="", "", VLOOKUP(C175, 'Pricing Sheet'!A:G, 2, FALSE))</f>
        <v/>
      </c>
      <c r="G175" s="31" t="str">
        <f>IF(C175="","",VLOOKUP(C175,'Pricing Sheet'!A:G,4,FALSE))</f>
        <v/>
      </c>
      <c r="H175" s="31" t="str">
        <f>IF(C175="","",VLOOKUP(C175,'Pricing Sheet'!A:G,5,FALSE))</f>
        <v/>
      </c>
      <c r="I175" s="31" t="str">
        <f>IF(C175="","",VLOOKUP(C175,'Pricing Sheet'!A:G,7,FALSE))</f>
        <v/>
      </c>
      <c r="J175" s="31" t="str">
        <f t="shared" si="2"/>
        <v/>
      </c>
    </row>
    <row r="176" spans="6:10" x14ac:dyDescent="0.25">
      <c r="F176" s="31" t="str">
        <f>IF(C176="", "", VLOOKUP(C176, 'Pricing Sheet'!A:G, 2, FALSE))</f>
        <v/>
      </c>
      <c r="G176" s="31" t="str">
        <f>IF(C176="","",VLOOKUP(C176,'Pricing Sheet'!A:G,4,FALSE))</f>
        <v/>
      </c>
      <c r="H176" s="31" t="str">
        <f>IF(C176="","",VLOOKUP(C176,'Pricing Sheet'!A:G,5,FALSE))</f>
        <v/>
      </c>
      <c r="I176" s="31" t="str">
        <f>IF(C176="","",VLOOKUP(C176,'Pricing Sheet'!A:G,7,FALSE))</f>
        <v/>
      </c>
      <c r="J176" s="31" t="str">
        <f t="shared" si="2"/>
        <v/>
      </c>
    </row>
    <row r="177" spans="6:10" x14ac:dyDescent="0.25">
      <c r="F177" s="31" t="str">
        <f>IF(C177="", "", VLOOKUP(C177, 'Pricing Sheet'!A:G, 2, FALSE))</f>
        <v/>
      </c>
      <c r="G177" s="31" t="str">
        <f>IF(C177="","",VLOOKUP(C177,'Pricing Sheet'!A:G,4,FALSE))</f>
        <v/>
      </c>
      <c r="H177" s="31" t="str">
        <f>IF(C177="","",VLOOKUP(C177,'Pricing Sheet'!A:G,5,FALSE))</f>
        <v/>
      </c>
      <c r="I177" s="31" t="str">
        <f>IF(C177="","",VLOOKUP(C177,'Pricing Sheet'!A:G,7,FALSE))</f>
        <v/>
      </c>
      <c r="J177" s="31" t="str">
        <f t="shared" si="2"/>
        <v/>
      </c>
    </row>
    <row r="178" spans="6:10" x14ac:dyDescent="0.25">
      <c r="F178" s="31" t="str">
        <f>IF(C178="", "", VLOOKUP(C178, 'Pricing Sheet'!A:G, 2, FALSE))</f>
        <v/>
      </c>
      <c r="G178" s="31" t="str">
        <f>IF(C178="","",VLOOKUP(C178,'Pricing Sheet'!A:G,4,FALSE))</f>
        <v/>
      </c>
      <c r="H178" s="31" t="str">
        <f>IF(C178="","",VLOOKUP(C178,'Pricing Sheet'!A:G,5,FALSE))</f>
        <v/>
      </c>
      <c r="I178" s="31" t="str">
        <f>IF(C178="","",VLOOKUP(C178,'Pricing Sheet'!A:G,7,FALSE))</f>
        <v/>
      </c>
      <c r="J178" s="31" t="str">
        <f t="shared" si="2"/>
        <v/>
      </c>
    </row>
    <row r="179" spans="6:10" x14ac:dyDescent="0.25">
      <c r="F179" s="31" t="str">
        <f>IF(C179="", "", VLOOKUP(C179, 'Pricing Sheet'!A:G, 2, FALSE))</f>
        <v/>
      </c>
      <c r="G179" s="31" t="str">
        <f>IF(C179="","",VLOOKUP(C179,'Pricing Sheet'!A:G,4,FALSE))</f>
        <v/>
      </c>
      <c r="H179" s="31" t="str">
        <f>IF(C179="","",VLOOKUP(C179,'Pricing Sheet'!A:G,5,FALSE))</f>
        <v/>
      </c>
      <c r="I179" s="31" t="str">
        <f>IF(C179="","",VLOOKUP(C179,'Pricing Sheet'!A:G,7,FALSE))</f>
        <v/>
      </c>
      <c r="J179" s="31" t="str">
        <f t="shared" si="2"/>
        <v/>
      </c>
    </row>
    <row r="180" spans="6:10" x14ac:dyDescent="0.25">
      <c r="F180" s="31" t="str">
        <f>IF(C180="", "", VLOOKUP(C180, 'Pricing Sheet'!A:G, 2, FALSE))</f>
        <v/>
      </c>
      <c r="G180" s="31" t="str">
        <f>IF(C180="","",VLOOKUP(C180,'Pricing Sheet'!A:G,4,FALSE))</f>
        <v/>
      </c>
      <c r="H180" s="31" t="str">
        <f>IF(C180="","",VLOOKUP(C180,'Pricing Sheet'!A:G,5,FALSE))</f>
        <v/>
      </c>
      <c r="I180" s="31" t="str">
        <f>IF(C180="","",VLOOKUP(C180,'Pricing Sheet'!A:G,7,FALSE))</f>
        <v/>
      </c>
      <c r="J180" s="31" t="str">
        <f t="shared" si="2"/>
        <v/>
      </c>
    </row>
    <row r="181" spans="6:10" x14ac:dyDescent="0.25">
      <c r="F181" s="31" t="str">
        <f>IF(C181="", "", VLOOKUP(C181, 'Pricing Sheet'!A:G, 2, FALSE))</f>
        <v/>
      </c>
      <c r="G181" s="31" t="str">
        <f>IF(C181="","",VLOOKUP(C181,'Pricing Sheet'!A:G,4,FALSE))</f>
        <v/>
      </c>
      <c r="H181" s="31" t="str">
        <f>IF(C181="","",VLOOKUP(C181,'Pricing Sheet'!A:G,5,FALSE))</f>
        <v/>
      </c>
      <c r="I181" s="31" t="str">
        <f>IF(C181="","",VLOOKUP(C181,'Pricing Sheet'!A:G,7,FALSE))</f>
        <v/>
      </c>
      <c r="J181" s="31" t="str">
        <f t="shared" si="2"/>
        <v/>
      </c>
    </row>
    <row r="182" spans="6:10" x14ac:dyDescent="0.25">
      <c r="F182" s="31" t="str">
        <f>IF(C182="", "", VLOOKUP(C182, 'Pricing Sheet'!A:G, 2, FALSE))</f>
        <v/>
      </c>
      <c r="G182" s="31" t="str">
        <f>IF(C182="","",VLOOKUP(C182,'Pricing Sheet'!A:G,4,FALSE))</f>
        <v/>
      </c>
      <c r="H182" s="31" t="str">
        <f>IF(C182="","",VLOOKUP(C182,'Pricing Sheet'!A:G,5,FALSE))</f>
        <v/>
      </c>
      <c r="I182" s="31" t="str">
        <f>IF(C182="","",VLOOKUP(C182,'Pricing Sheet'!A:G,7,FALSE))</f>
        <v/>
      </c>
      <c r="J182" s="31" t="str">
        <f t="shared" si="2"/>
        <v/>
      </c>
    </row>
    <row r="183" spans="6:10" x14ac:dyDescent="0.25">
      <c r="F183" s="31" t="str">
        <f>IF(C183="", "", VLOOKUP(C183, 'Pricing Sheet'!A:G, 2, FALSE))</f>
        <v/>
      </c>
      <c r="G183" s="31" t="str">
        <f>IF(C183="","",VLOOKUP(C183,'Pricing Sheet'!A:G,4,FALSE))</f>
        <v/>
      </c>
      <c r="H183" s="31" t="str">
        <f>IF(C183="","",VLOOKUP(C183,'Pricing Sheet'!A:G,5,FALSE))</f>
        <v/>
      </c>
      <c r="I183" s="31" t="str">
        <f>IF(C183="","",VLOOKUP(C183,'Pricing Sheet'!A:G,7,FALSE))</f>
        <v/>
      </c>
      <c r="J183" s="31" t="str">
        <f t="shared" si="2"/>
        <v/>
      </c>
    </row>
    <row r="184" spans="6:10" x14ac:dyDescent="0.25">
      <c r="F184" s="31" t="str">
        <f>IF(C184="", "", VLOOKUP(C184, 'Pricing Sheet'!A:G, 2, FALSE))</f>
        <v/>
      </c>
      <c r="G184" s="31" t="str">
        <f>IF(C184="","",VLOOKUP(C184,'Pricing Sheet'!A:G,4,FALSE))</f>
        <v/>
      </c>
      <c r="H184" s="31" t="str">
        <f>IF(C184="","",VLOOKUP(C184,'Pricing Sheet'!A:G,5,FALSE))</f>
        <v/>
      </c>
      <c r="I184" s="31" t="str">
        <f>IF(C184="","",VLOOKUP(C184,'Pricing Sheet'!A:G,7,FALSE))</f>
        <v/>
      </c>
      <c r="J184" s="31" t="str">
        <f t="shared" si="2"/>
        <v/>
      </c>
    </row>
    <row r="185" spans="6:10" x14ac:dyDescent="0.25">
      <c r="F185" s="31" t="str">
        <f>IF(C185="", "", VLOOKUP(C185, 'Pricing Sheet'!A:G, 2, FALSE))</f>
        <v/>
      </c>
      <c r="G185" s="31" t="str">
        <f>IF(C185="","",VLOOKUP(C185,'Pricing Sheet'!A:G,4,FALSE))</f>
        <v/>
      </c>
      <c r="H185" s="31" t="str">
        <f>IF(C185="","",VLOOKUP(C185,'Pricing Sheet'!A:G,5,FALSE))</f>
        <v/>
      </c>
      <c r="I185" s="31" t="str">
        <f>IF(C185="","",VLOOKUP(C185,'Pricing Sheet'!A:G,7,FALSE))</f>
        <v/>
      </c>
      <c r="J185" s="31" t="str">
        <f t="shared" si="2"/>
        <v/>
      </c>
    </row>
    <row r="186" spans="6:10" x14ac:dyDescent="0.25">
      <c r="F186" s="31" t="str">
        <f>IF(C186="", "", VLOOKUP(C186, 'Pricing Sheet'!A:G, 2, FALSE))</f>
        <v/>
      </c>
      <c r="G186" s="31" t="str">
        <f>IF(C186="","",VLOOKUP(C186,'Pricing Sheet'!A:G,4,FALSE))</f>
        <v/>
      </c>
      <c r="H186" s="31" t="str">
        <f>IF(C186="","",VLOOKUP(C186,'Pricing Sheet'!A:G,5,FALSE))</f>
        <v/>
      </c>
      <c r="I186" s="31" t="str">
        <f>IF(C186="","",VLOOKUP(C186,'Pricing Sheet'!A:G,7,FALSE))</f>
        <v/>
      </c>
      <c r="J186" s="31" t="str">
        <f t="shared" si="2"/>
        <v/>
      </c>
    </row>
    <row r="187" spans="6:10" x14ac:dyDescent="0.25">
      <c r="F187" s="31" t="str">
        <f>IF(C187="", "", VLOOKUP(C187, 'Pricing Sheet'!A:G, 2, FALSE))</f>
        <v/>
      </c>
      <c r="G187" s="31" t="str">
        <f>IF(C187="","",VLOOKUP(C187,'Pricing Sheet'!A:G,4,FALSE))</f>
        <v/>
      </c>
      <c r="H187" s="31" t="str">
        <f>IF(C187="","",VLOOKUP(C187,'Pricing Sheet'!A:G,5,FALSE))</f>
        <v/>
      </c>
      <c r="I187" s="31" t="str">
        <f>IF(C187="","",VLOOKUP(C187,'Pricing Sheet'!A:G,7,FALSE))</f>
        <v/>
      </c>
      <c r="J187" s="31" t="str">
        <f t="shared" si="2"/>
        <v/>
      </c>
    </row>
    <row r="188" spans="6:10" x14ac:dyDescent="0.25">
      <c r="F188" s="31" t="str">
        <f>IF(C188="", "", VLOOKUP(C188, 'Pricing Sheet'!A:G, 2, FALSE))</f>
        <v/>
      </c>
      <c r="G188" s="31" t="str">
        <f>IF(C188="","",VLOOKUP(C188,'Pricing Sheet'!A:G,4,FALSE))</f>
        <v/>
      </c>
      <c r="H188" s="31" t="str">
        <f>IF(C188="","",VLOOKUP(C188,'Pricing Sheet'!A:G,5,FALSE))</f>
        <v/>
      </c>
      <c r="I188" s="31" t="str">
        <f>IF(C188="","",VLOOKUP(C188,'Pricing Sheet'!A:G,7,FALSE))</f>
        <v/>
      </c>
      <c r="J188" s="31" t="str">
        <f t="shared" si="2"/>
        <v/>
      </c>
    </row>
    <row r="189" spans="6:10" x14ac:dyDescent="0.25">
      <c r="F189" s="31" t="str">
        <f>IF(C189="", "", VLOOKUP(C189, 'Pricing Sheet'!A:G, 2, FALSE))</f>
        <v/>
      </c>
      <c r="G189" s="31" t="str">
        <f>IF(C189="","",VLOOKUP(C189,'Pricing Sheet'!A:G,4,FALSE))</f>
        <v/>
      </c>
      <c r="H189" s="31" t="str">
        <f>IF(C189="","",VLOOKUP(C189,'Pricing Sheet'!A:G,5,FALSE))</f>
        <v/>
      </c>
      <c r="I189" s="31" t="str">
        <f>IF(C189="","",VLOOKUP(C189,'Pricing Sheet'!A:G,7,FALSE))</f>
        <v/>
      </c>
      <c r="J189" s="31" t="str">
        <f t="shared" si="2"/>
        <v/>
      </c>
    </row>
    <row r="190" spans="6:10" x14ac:dyDescent="0.25">
      <c r="F190" s="31" t="str">
        <f>IF(C190="", "", VLOOKUP(C190, 'Pricing Sheet'!A:G, 2, FALSE))</f>
        <v/>
      </c>
      <c r="G190" s="31" t="str">
        <f>IF(C190="","",VLOOKUP(C190,'Pricing Sheet'!A:G,4,FALSE))</f>
        <v/>
      </c>
      <c r="H190" s="31" t="str">
        <f>IF(C190="","",VLOOKUP(C190,'Pricing Sheet'!A:G,5,FALSE))</f>
        <v/>
      </c>
      <c r="I190" s="31" t="str">
        <f>IF(C190="","",VLOOKUP(C190,'Pricing Sheet'!A:G,7,FALSE))</f>
        <v/>
      </c>
      <c r="J190" s="31" t="str">
        <f t="shared" si="2"/>
        <v/>
      </c>
    </row>
    <row r="191" spans="6:10" x14ac:dyDescent="0.25">
      <c r="F191" s="31" t="str">
        <f>IF(C191="", "", VLOOKUP(C191, 'Pricing Sheet'!A:G, 2, FALSE))</f>
        <v/>
      </c>
      <c r="G191" s="31" t="str">
        <f>IF(C191="","",VLOOKUP(C191,'Pricing Sheet'!A:G,4,FALSE))</f>
        <v/>
      </c>
      <c r="H191" s="31" t="str">
        <f>IF(C191="","",VLOOKUP(C191,'Pricing Sheet'!A:G,5,FALSE))</f>
        <v/>
      </c>
      <c r="I191" s="31" t="str">
        <f>IF(C191="","",VLOOKUP(C191,'Pricing Sheet'!A:G,7,FALSE))</f>
        <v/>
      </c>
      <c r="J191" s="31" t="str">
        <f t="shared" si="2"/>
        <v/>
      </c>
    </row>
    <row r="192" spans="6:10" x14ac:dyDescent="0.25">
      <c r="F192" s="31" t="str">
        <f>IF(C192="", "", VLOOKUP(C192, 'Pricing Sheet'!A:G, 2, FALSE))</f>
        <v/>
      </c>
      <c r="G192" s="31" t="str">
        <f>IF(C192="","",VLOOKUP(C192,'Pricing Sheet'!A:G,4,FALSE))</f>
        <v/>
      </c>
      <c r="H192" s="31" t="str">
        <f>IF(C192="","",VLOOKUP(C192,'Pricing Sheet'!A:G,5,FALSE))</f>
        <v/>
      </c>
      <c r="I192" s="31" t="str">
        <f>IF(C192="","",VLOOKUP(C192,'Pricing Sheet'!A:G,7,FALSE))</f>
        <v/>
      </c>
      <c r="J192" s="31" t="str">
        <f t="shared" si="2"/>
        <v/>
      </c>
    </row>
    <row r="193" spans="6:10" x14ac:dyDescent="0.25">
      <c r="F193" s="31" t="str">
        <f>IF(C193="", "", VLOOKUP(C193, 'Pricing Sheet'!A:G, 2, FALSE))</f>
        <v/>
      </c>
      <c r="G193" s="31" t="str">
        <f>IF(C193="","",VLOOKUP(C193,'Pricing Sheet'!A:G,4,FALSE))</f>
        <v/>
      </c>
      <c r="H193" s="31" t="str">
        <f>IF(C193="","",VLOOKUP(C193,'Pricing Sheet'!A:G,5,FALSE))</f>
        <v/>
      </c>
      <c r="I193" s="31" t="str">
        <f>IF(C193="","",VLOOKUP(C193,'Pricing Sheet'!A:G,7,FALSE))</f>
        <v/>
      </c>
      <c r="J193" s="31" t="str">
        <f t="shared" si="2"/>
        <v/>
      </c>
    </row>
    <row r="194" spans="6:10" x14ac:dyDescent="0.25">
      <c r="F194" s="31" t="str">
        <f>IF(C194="", "", VLOOKUP(C194, 'Pricing Sheet'!A:G, 2, FALSE))</f>
        <v/>
      </c>
      <c r="G194" s="31" t="str">
        <f>IF(C194="","",VLOOKUP(C194,'Pricing Sheet'!A:G,4,FALSE))</f>
        <v/>
      </c>
      <c r="H194" s="31" t="str">
        <f>IF(C194="","",VLOOKUP(C194,'Pricing Sheet'!A:G,5,FALSE))</f>
        <v/>
      </c>
      <c r="I194" s="31" t="str">
        <f>IF(C194="","",VLOOKUP(C194,'Pricing Sheet'!A:G,7,FALSE))</f>
        <v/>
      </c>
      <c r="J194" s="31" t="str">
        <f t="shared" si="2"/>
        <v/>
      </c>
    </row>
    <row r="195" spans="6:10" x14ac:dyDescent="0.25">
      <c r="F195" s="31" t="str">
        <f>IF(C195="", "", VLOOKUP(C195, 'Pricing Sheet'!A:G, 2, FALSE))</f>
        <v/>
      </c>
      <c r="G195" s="31" t="str">
        <f>IF(C195="","",VLOOKUP(C195,'Pricing Sheet'!A:G,4,FALSE))</f>
        <v/>
      </c>
      <c r="H195" s="31" t="str">
        <f>IF(C195="","",VLOOKUP(C195,'Pricing Sheet'!A:G,5,FALSE))</f>
        <v/>
      </c>
      <c r="I195" s="31" t="str">
        <f>IF(C195="","",VLOOKUP(C195,'Pricing Sheet'!A:G,7,FALSE))</f>
        <v/>
      </c>
      <c r="J195" s="31" t="str">
        <f t="shared" ref="J195:J200" si="3">IF(B195="", "", "HPLC Purified")</f>
        <v/>
      </c>
    </row>
    <row r="196" spans="6:10" x14ac:dyDescent="0.25">
      <c r="F196" s="31" t="str">
        <f>IF(C196="", "", VLOOKUP(C196, 'Pricing Sheet'!A:G, 2, FALSE))</f>
        <v/>
      </c>
      <c r="G196" s="31" t="str">
        <f>IF(C196="","",VLOOKUP(C196,'Pricing Sheet'!A:G,4,FALSE))</f>
        <v/>
      </c>
      <c r="H196" s="31" t="str">
        <f>IF(C196="","",VLOOKUP(C196,'Pricing Sheet'!A:G,5,FALSE))</f>
        <v/>
      </c>
      <c r="I196" s="31" t="str">
        <f>IF(C196="","",VLOOKUP(C196,'Pricing Sheet'!A:G,7,FALSE))</f>
        <v/>
      </c>
      <c r="J196" s="31" t="str">
        <f t="shared" si="3"/>
        <v/>
      </c>
    </row>
    <row r="197" spans="6:10" x14ac:dyDescent="0.25">
      <c r="F197" s="31" t="str">
        <f>IF(C197="", "", VLOOKUP(C197, 'Pricing Sheet'!A:G, 2, FALSE))</f>
        <v/>
      </c>
      <c r="G197" s="31" t="str">
        <f>IF(C197="","",VLOOKUP(C197,'Pricing Sheet'!A:G,4,FALSE))</f>
        <v/>
      </c>
      <c r="H197" s="31" t="str">
        <f>IF(C197="","",VLOOKUP(C197,'Pricing Sheet'!A:G,5,FALSE))</f>
        <v/>
      </c>
      <c r="I197" s="31" t="str">
        <f>IF(C197="","",VLOOKUP(C197,'Pricing Sheet'!A:G,7,FALSE))</f>
        <v/>
      </c>
      <c r="J197" s="31" t="str">
        <f t="shared" si="3"/>
        <v/>
      </c>
    </row>
    <row r="198" spans="6:10" x14ac:dyDescent="0.25">
      <c r="F198" s="31" t="str">
        <f>IF(C198="", "", VLOOKUP(C198, 'Pricing Sheet'!A:G, 2, FALSE))</f>
        <v/>
      </c>
      <c r="G198" s="31" t="str">
        <f>IF(C198="","",VLOOKUP(C198,'Pricing Sheet'!A:G,4,FALSE))</f>
        <v/>
      </c>
      <c r="H198" s="31" t="str">
        <f>IF(C198="","",VLOOKUP(C198,'Pricing Sheet'!A:G,5,FALSE))</f>
        <v/>
      </c>
      <c r="I198" s="31" t="str">
        <f>IF(C198="","",VLOOKUP(C198,'Pricing Sheet'!A:G,7,FALSE))</f>
        <v/>
      </c>
      <c r="J198" s="31" t="str">
        <f t="shared" si="3"/>
        <v/>
      </c>
    </row>
    <row r="199" spans="6:10" x14ac:dyDescent="0.25">
      <c r="F199" s="31" t="str">
        <f>IF(C199="", "", VLOOKUP(C199, 'Pricing Sheet'!A:G, 2, FALSE))</f>
        <v/>
      </c>
      <c r="G199" s="31" t="str">
        <f>IF(C199="","",VLOOKUP(C199,'Pricing Sheet'!A:G,4,FALSE))</f>
        <v/>
      </c>
      <c r="H199" s="31" t="str">
        <f>IF(C199="","",VLOOKUP(C199,'Pricing Sheet'!A:G,5,FALSE))</f>
        <v/>
      </c>
      <c r="I199" s="31" t="str">
        <f>IF(C199="","",VLOOKUP(C199,'Pricing Sheet'!A:G,7,FALSE))</f>
        <v/>
      </c>
      <c r="J199" s="31" t="str">
        <f t="shared" si="3"/>
        <v/>
      </c>
    </row>
    <row r="200" spans="6:10" x14ac:dyDescent="0.25">
      <c r="F200" s="31" t="str">
        <f>IF(C200="", "", VLOOKUP(C200, 'Pricing Sheet'!A:G, 2, FALSE))</f>
        <v/>
      </c>
      <c r="G200" s="31" t="str">
        <f>IF(C200="","",VLOOKUP(C200,'Pricing Sheet'!A:G,4,FALSE))</f>
        <v/>
      </c>
      <c r="H200" s="31" t="str">
        <f>IF(C200="","",VLOOKUP(C200,'Pricing Sheet'!A:G,5,FALSE))</f>
        <v/>
      </c>
      <c r="I200" s="31" t="str">
        <f>IF(C200="","",VLOOKUP(C200,'Pricing Sheet'!A:G,7,FALSE))</f>
        <v/>
      </c>
      <c r="J200" s="31" t="str">
        <f t="shared" si="3"/>
        <v/>
      </c>
    </row>
    <row r="201" spans="6:10" hidden="1" x14ac:dyDescent="0.25">
      <c r="F201" s="31" t="str">
        <f>IF(C201="", "", VLOOKUP(C201, 'Pricing Sheet'!A:G, 2, FALSE))</f>
        <v/>
      </c>
      <c r="G201" s="31" t="str">
        <f>IF(C201="","",VLOOKUP(C201,'Pricing Sheet'!A:G,4,FALSE))</f>
        <v/>
      </c>
      <c r="H201" s="31" t="str">
        <f>IF(C201="","",VLOOKUP(C201,'Pricing Sheet'!A:G,5,FALSE))</f>
        <v/>
      </c>
      <c r="I201" s="31" t="str">
        <f>IF(C201="","",VLOOKUP(C201,'Pricing Sheet'!A:G,7,FALSE))</f>
        <v/>
      </c>
      <c r="J201" s="31" t="str">
        <f t="shared" ref="J201" si="4">IF(B201="", "", "HPLC Purified")</f>
        <v/>
      </c>
    </row>
  </sheetData>
  <sheetProtection algorithmName="SHA-512" hashValue="ofd4FqKa5rmS/qf67JMb1jZXc7Ws8aCKc73L5fiYEUcrLuVWhnoddoKmyDUbbgFkw+bIVg/C0jgxHxTQrRwYOQ==" saltValue="UDuERLJ6jiGGL5ViLO+/Eg==" spinCount="100000" sheet="1" objects="1" scenarios="1"/>
  <dataValidations count="3">
    <dataValidation allowBlank="1" showInputMessage="1" showErrorMessage="1" promptTitle="Notes" prompt="1. Allowable length is between 16-35 bases_x000a_2. Allowable internal modification: (BHQ-1-dT)_x000a_3. If internal mod is selected, the default position is 9th base, unless it's manually added to a desired position in the sequence._x000a_4. Allowable bases: ATGC" sqref="B1:B200" xr:uid="{A043AE6A-A9CF-42E7-A122-A2D68D2D448D}"/>
    <dataValidation type="list" allowBlank="1" showInputMessage="1" showErrorMessage="1" sqref="D201" xr:uid="{2CA6939A-959D-4100-9DF2-0D2F7DC4122E}">
      <formula1>"Lyophilized, Analytical HPLC, Formulated: Normal TE Buffer, Formulated: Low TE Buffer"</formula1>
    </dataValidation>
    <dataValidation type="list" allowBlank="1" showInputMessage="1" showErrorMessage="1" sqref="D2:D200" xr:uid="{AE33E3E5-8382-4DB1-A65F-9B63A25ADAF1}">
      <formula1>"Lyophilized, Formulated: 1X TE Buffer"</formula1>
    </dataValidation>
  </dataValidation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B5A8B1-B77C-4DE4-B7C3-8F4533EE93FA}">
          <x14:formula1>
            <xm:f>'Pricing Sheet'!$A$2:$A$101</xm:f>
          </x14:formula1>
          <xm:sqref>C2:C201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A90D-51D4-42C6-B0FF-3FF6468550D8}">
  <dimension ref="A1:G105"/>
  <sheetViews>
    <sheetView zoomScale="115" zoomScaleNormal="115" workbookViewId="0">
      <pane xSplit="1" ySplit="1" topLeftCell="B62" activePane="bottomRight" state="frozen"/>
      <selection pane="topRight" activeCell="B1" sqref="B1"/>
      <selection pane="bottomLeft" activeCell="A2" sqref="A2"/>
      <selection pane="bottomRight" activeCell="E90" sqref="E90:E93"/>
    </sheetView>
  </sheetViews>
  <sheetFormatPr defaultRowHeight="15" x14ac:dyDescent="0.25"/>
  <cols>
    <col min="1" max="1" width="19" bestFit="1" customWidth="1"/>
    <col min="2" max="2" width="16.5703125" bestFit="1" customWidth="1"/>
    <col min="3" max="3" width="21.7109375" bestFit="1" customWidth="1"/>
    <col min="4" max="4" width="16.5703125" bestFit="1" customWidth="1"/>
    <col min="5" max="5" width="13.5703125" bestFit="1" customWidth="1"/>
    <col min="6" max="6" width="10" bestFit="1" customWidth="1"/>
    <col min="7" max="7" width="20.5703125" bestFit="1" customWidth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2" t="s">
        <v>20</v>
      </c>
    </row>
    <row r="2" spans="1:7" x14ac:dyDescent="0.25">
      <c r="A2" s="32" t="s">
        <v>21</v>
      </c>
      <c r="B2" s="33" t="s">
        <v>185</v>
      </c>
      <c r="C2" s="33" t="s">
        <v>22</v>
      </c>
      <c r="D2" s="33" t="s">
        <v>182</v>
      </c>
      <c r="E2" s="33" t="s">
        <v>4</v>
      </c>
      <c r="F2" s="33" t="s">
        <v>23</v>
      </c>
      <c r="G2">
        <v>3</v>
      </c>
    </row>
    <row r="3" spans="1:7" x14ac:dyDescent="0.25">
      <c r="A3" s="32" t="s">
        <v>24</v>
      </c>
      <c r="B3" s="33" t="s">
        <v>185</v>
      </c>
      <c r="C3" s="33" t="s">
        <v>22</v>
      </c>
      <c r="D3" s="33" t="s">
        <v>182</v>
      </c>
      <c r="E3" s="33" t="s">
        <v>4</v>
      </c>
      <c r="F3" s="33" t="s">
        <v>23</v>
      </c>
      <c r="G3">
        <v>10</v>
      </c>
    </row>
    <row r="4" spans="1:7" x14ac:dyDescent="0.25">
      <c r="A4" s="32" t="s">
        <v>25</v>
      </c>
      <c r="B4" s="33" t="s">
        <v>185</v>
      </c>
      <c r="C4" s="33" t="s">
        <v>22</v>
      </c>
      <c r="D4" s="33" t="s">
        <v>182</v>
      </c>
      <c r="E4" s="33" t="s">
        <v>4</v>
      </c>
      <c r="F4" s="33" t="s">
        <v>23</v>
      </c>
      <c r="G4">
        <v>30</v>
      </c>
    </row>
    <row r="5" spans="1:7" x14ac:dyDescent="0.25">
      <c r="A5" s="32" t="s">
        <v>26</v>
      </c>
      <c r="B5" s="33" t="s">
        <v>185</v>
      </c>
      <c r="C5" s="33" t="s">
        <v>22</v>
      </c>
      <c r="D5" s="33" t="s">
        <v>182</v>
      </c>
      <c r="E5" s="33" t="s">
        <v>4</v>
      </c>
      <c r="F5" s="33" t="s">
        <v>23</v>
      </c>
      <c r="G5">
        <v>70</v>
      </c>
    </row>
    <row r="6" spans="1:7" x14ac:dyDescent="0.25">
      <c r="A6" s="32" t="s">
        <v>27</v>
      </c>
      <c r="B6" s="33" t="s">
        <v>185</v>
      </c>
      <c r="C6" s="33" t="s">
        <v>22</v>
      </c>
      <c r="D6" s="33" t="s">
        <v>182</v>
      </c>
      <c r="E6" s="33" t="s">
        <v>3</v>
      </c>
      <c r="F6" s="33" t="s">
        <v>28</v>
      </c>
      <c r="G6">
        <v>3</v>
      </c>
    </row>
    <row r="7" spans="1:7" x14ac:dyDescent="0.25">
      <c r="A7" s="32" t="s">
        <v>29</v>
      </c>
      <c r="B7" s="33" t="s">
        <v>185</v>
      </c>
      <c r="C7" s="33" t="s">
        <v>22</v>
      </c>
      <c r="D7" s="33" t="s">
        <v>182</v>
      </c>
      <c r="E7" s="33" t="s">
        <v>3</v>
      </c>
      <c r="F7" s="33" t="s">
        <v>28</v>
      </c>
      <c r="G7">
        <v>10</v>
      </c>
    </row>
    <row r="8" spans="1:7" x14ac:dyDescent="0.25">
      <c r="A8" s="32" t="s">
        <v>30</v>
      </c>
      <c r="B8" s="33" t="s">
        <v>185</v>
      </c>
      <c r="C8" s="33" t="s">
        <v>22</v>
      </c>
      <c r="D8" s="33" t="s">
        <v>182</v>
      </c>
      <c r="E8" s="33" t="s">
        <v>3</v>
      </c>
      <c r="F8" s="33" t="s">
        <v>28</v>
      </c>
      <c r="G8">
        <v>30</v>
      </c>
    </row>
    <row r="9" spans="1:7" x14ac:dyDescent="0.25">
      <c r="A9" s="32" t="s">
        <v>31</v>
      </c>
      <c r="B9" s="33" t="s">
        <v>185</v>
      </c>
      <c r="C9" s="33" t="s">
        <v>22</v>
      </c>
      <c r="D9" s="33" t="s">
        <v>182</v>
      </c>
      <c r="E9" s="33" t="s">
        <v>3</v>
      </c>
      <c r="F9" s="33" t="s">
        <v>28</v>
      </c>
      <c r="G9">
        <v>70</v>
      </c>
    </row>
    <row r="10" spans="1:7" x14ac:dyDescent="0.25">
      <c r="A10" s="32" t="s">
        <v>32</v>
      </c>
      <c r="B10" s="33" t="s">
        <v>185</v>
      </c>
      <c r="C10" s="33" t="s">
        <v>22</v>
      </c>
      <c r="D10" s="32" t="s">
        <v>6</v>
      </c>
      <c r="E10" s="33" t="s">
        <v>7</v>
      </c>
      <c r="F10" s="33" t="s">
        <v>33</v>
      </c>
      <c r="G10">
        <v>3</v>
      </c>
    </row>
    <row r="11" spans="1:7" x14ac:dyDescent="0.25">
      <c r="A11" s="32" t="s">
        <v>34</v>
      </c>
      <c r="B11" s="33" t="s">
        <v>185</v>
      </c>
      <c r="C11" s="33" t="s">
        <v>22</v>
      </c>
      <c r="D11" s="32" t="s">
        <v>6</v>
      </c>
      <c r="E11" s="33" t="s">
        <v>7</v>
      </c>
      <c r="F11" s="33" t="s">
        <v>33</v>
      </c>
      <c r="G11">
        <v>10</v>
      </c>
    </row>
    <row r="12" spans="1:7" x14ac:dyDescent="0.25">
      <c r="A12" s="32" t="s">
        <v>35</v>
      </c>
      <c r="B12" s="33" t="s">
        <v>185</v>
      </c>
      <c r="C12" s="33" t="s">
        <v>22</v>
      </c>
      <c r="D12" s="32" t="s">
        <v>6</v>
      </c>
      <c r="E12" s="33" t="s">
        <v>7</v>
      </c>
      <c r="F12" s="33" t="s">
        <v>33</v>
      </c>
      <c r="G12">
        <v>30</v>
      </c>
    </row>
    <row r="13" spans="1:7" x14ac:dyDescent="0.25">
      <c r="A13" s="32" t="s">
        <v>36</v>
      </c>
      <c r="B13" s="33" t="s">
        <v>185</v>
      </c>
      <c r="C13" s="33" t="s">
        <v>22</v>
      </c>
      <c r="D13" s="32" t="s">
        <v>6</v>
      </c>
      <c r="E13" s="33" t="s">
        <v>7</v>
      </c>
      <c r="F13" s="33" t="s">
        <v>33</v>
      </c>
      <c r="G13">
        <v>70</v>
      </c>
    </row>
    <row r="14" spans="1:7" x14ac:dyDescent="0.25">
      <c r="A14" s="32" t="s">
        <v>37</v>
      </c>
      <c r="B14" s="33" t="s">
        <v>185</v>
      </c>
      <c r="C14" s="33" t="s">
        <v>22</v>
      </c>
      <c r="D14" s="32" t="s">
        <v>6</v>
      </c>
      <c r="E14" s="33" t="s">
        <v>3</v>
      </c>
      <c r="F14" s="33" t="s">
        <v>28</v>
      </c>
      <c r="G14">
        <v>3</v>
      </c>
    </row>
    <row r="15" spans="1:7" x14ac:dyDescent="0.25">
      <c r="A15" s="32" t="s">
        <v>38</v>
      </c>
      <c r="B15" s="33" t="s">
        <v>185</v>
      </c>
      <c r="C15" s="33" t="s">
        <v>22</v>
      </c>
      <c r="D15" s="32" t="s">
        <v>6</v>
      </c>
      <c r="E15" s="33" t="s">
        <v>3</v>
      </c>
      <c r="F15" s="33" t="s">
        <v>28</v>
      </c>
      <c r="G15">
        <v>10</v>
      </c>
    </row>
    <row r="16" spans="1:7" x14ac:dyDescent="0.25">
      <c r="A16" s="32" t="s">
        <v>39</v>
      </c>
      <c r="B16" s="33" t="s">
        <v>185</v>
      </c>
      <c r="C16" s="33" t="s">
        <v>22</v>
      </c>
      <c r="D16" s="32" t="s">
        <v>6</v>
      </c>
      <c r="E16" s="33" t="s">
        <v>3</v>
      </c>
      <c r="F16" s="33" t="s">
        <v>28</v>
      </c>
      <c r="G16">
        <v>30</v>
      </c>
    </row>
    <row r="17" spans="1:7" x14ac:dyDescent="0.25">
      <c r="A17" s="32" t="s">
        <v>40</v>
      </c>
      <c r="B17" s="33" t="s">
        <v>185</v>
      </c>
      <c r="C17" s="33" t="s">
        <v>22</v>
      </c>
      <c r="D17" s="32" t="s">
        <v>6</v>
      </c>
      <c r="E17" s="33" t="s">
        <v>3</v>
      </c>
      <c r="F17" s="33" t="s">
        <v>28</v>
      </c>
      <c r="G17">
        <v>70</v>
      </c>
    </row>
    <row r="18" spans="1:7" x14ac:dyDescent="0.25">
      <c r="A18" s="32" t="s">
        <v>41</v>
      </c>
      <c r="B18" s="33" t="s">
        <v>185</v>
      </c>
      <c r="C18" s="33" t="s">
        <v>22</v>
      </c>
      <c r="D18" s="32" t="s">
        <v>6</v>
      </c>
      <c r="E18" s="33" t="s">
        <v>4</v>
      </c>
      <c r="F18" s="33" t="s">
        <v>23</v>
      </c>
      <c r="G18">
        <v>3</v>
      </c>
    </row>
    <row r="19" spans="1:7" x14ac:dyDescent="0.25">
      <c r="A19" s="32" t="s">
        <v>42</v>
      </c>
      <c r="B19" s="33" t="s">
        <v>185</v>
      </c>
      <c r="C19" s="33" t="s">
        <v>22</v>
      </c>
      <c r="D19" s="32" t="s">
        <v>6</v>
      </c>
      <c r="E19" s="33" t="s">
        <v>4</v>
      </c>
      <c r="F19" s="33" t="s">
        <v>23</v>
      </c>
      <c r="G19">
        <v>10</v>
      </c>
    </row>
    <row r="20" spans="1:7" x14ac:dyDescent="0.25">
      <c r="A20" s="32" t="s">
        <v>43</v>
      </c>
      <c r="B20" s="33" t="s">
        <v>185</v>
      </c>
      <c r="C20" s="33" t="s">
        <v>22</v>
      </c>
      <c r="D20" s="32" t="s">
        <v>6</v>
      </c>
      <c r="E20" s="33" t="s">
        <v>4</v>
      </c>
      <c r="F20" s="33" t="s">
        <v>23</v>
      </c>
      <c r="G20">
        <v>30</v>
      </c>
    </row>
    <row r="21" spans="1:7" x14ac:dyDescent="0.25">
      <c r="A21" s="32" t="s">
        <v>44</v>
      </c>
      <c r="B21" s="33" t="s">
        <v>185</v>
      </c>
      <c r="C21" s="33" t="s">
        <v>22</v>
      </c>
      <c r="D21" s="32" t="s">
        <v>6</v>
      </c>
      <c r="E21" s="33" t="s">
        <v>4</v>
      </c>
      <c r="F21" s="33" t="s">
        <v>23</v>
      </c>
      <c r="G21">
        <v>70</v>
      </c>
    </row>
    <row r="22" spans="1:7" x14ac:dyDescent="0.25">
      <c r="A22" s="32" t="s">
        <v>45</v>
      </c>
      <c r="B22" s="33" t="s">
        <v>186</v>
      </c>
      <c r="C22" s="32" t="s">
        <v>46</v>
      </c>
      <c r="D22" s="33" t="s">
        <v>182</v>
      </c>
      <c r="E22" s="33" t="s">
        <v>3</v>
      </c>
      <c r="F22" s="33" t="s">
        <v>28</v>
      </c>
      <c r="G22">
        <v>3</v>
      </c>
    </row>
    <row r="23" spans="1:7" x14ac:dyDescent="0.25">
      <c r="A23" s="32" t="s">
        <v>47</v>
      </c>
      <c r="B23" s="33" t="s">
        <v>186</v>
      </c>
      <c r="C23" s="32" t="s">
        <v>46</v>
      </c>
      <c r="D23" s="33" t="s">
        <v>182</v>
      </c>
      <c r="E23" s="33" t="s">
        <v>3</v>
      </c>
      <c r="F23" s="33" t="s">
        <v>28</v>
      </c>
      <c r="G23">
        <v>10</v>
      </c>
    </row>
    <row r="24" spans="1:7" x14ac:dyDescent="0.25">
      <c r="A24" s="32" t="s">
        <v>48</v>
      </c>
      <c r="B24" s="33" t="s">
        <v>186</v>
      </c>
      <c r="C24" s="32" t="s">
        <v>46</v>
      </c>
      <c r="D24" s="33" t="s">
        <v>182</v>
      </c>
      <c r="E24" s="33" t="s">
        <v>3</v>
      </c>
      <c r="F24" s="33" t="s">
        <v>28</v>
      </c>
      <c r="G24">
        <v>30</v>
      </c>
    </row>
    <row r="25" spans="1:7" x14ac:dyDescent="0.25">
      <c r="A25" s="32" t="s">
        <v>49</v>
      </c>
      <c r="B25" s="33" t="s">
        <v>186</v>
      </c>
      <c r="C25" s="32" t="s">
        <v>46</v>
      </c>
      <c r="D25" s="33" t="s">
        <v>182</v>
      </c>
      <c r="E25" s="33" t="s">
        <v>3</v>
      </c>
      <c r="F25" s="33" t="s">
        <v>28</v>
      </c>
      <c r="G25">
        <v>70</v>
      </c>
    </row>
    <row r="26" spans="1:7" x14ac:dyDescent="0.25">
      <c r="A26" s="32" t="s">
        <v>50</v>
      </c>
      <c r="B26" s="33" t="s">
        <v>186</v>
      </c>
      <c r="C26" s="32" t="s">
        <v>46</v>
      </c>
      <c r="D26" s="33" t="s">
        <v>182</v>
      </c>
      <c r="E26" s="33" t="s">
        <v>4</v>
      </c>
      <c r="F26" s="33" t="s">
        <v>23</v>
      </c>
      <c r="G26">
        <v>3</v>
      </c>
    </row>
    <row r="27" spans="1:7" x14ac:dyDescent="0.25">
      <c r="A27" s="32" t="s">
        <v>51</v>
      </c>
      <c r="B27" s="33" t="s">
        <v>186</v>
      </c>
      <c r="C27" s="32" t="s">
        <v>46</v>
      </c>
      <c r="D27" s="33" t="s">
        <v>182</v>
      </c>
      <c r="E27" s="33" t="s">
        <v>4</v>
      </c>
      <c r="F27" s="33" t="s">
        <v>23</v>
      </c>
      <c r="G27">
        <v>10</v>
      </c>
    </row>
    <row r="28" spans="1:7" x14ac:dyDescent="0.25">
      <c r="A28" s="32" t="s">
        <v>52</v>
      </c>
      <c r="B28" s="33" t="s">
        <v>186</v>
      </c>
      <c r="C28" s="32" t="s">
        <v>46</v>
      </c>
      <c r="D28" s="33" t="s">
        <v>182</v>
      </c>
      <c r="E28" s="33" t="s">
        <v>4</v>
      </c>
      <c r="F28" s="33" t="s">
        <v>23</v>
      </c>
      <c r="G28">
        <v>30</v>
      </c>
    </row>
    <row r="29" spans="1:7" x14ac:dyDescent="0.25">
      <c r="A29" s="32" t="s">
        <v>53</v>
      </c>
      <c r="B29" s="33" t="s">
        <v>186</v>
      </c>
      <c r="C29" s="32" t="s">
        <v>46</v>
      </c>
      <c r="D29" s="33" t="s">
        <v>182</v>
      </c>
      <c r="E29" s="33" t="s">
        <v>4</v>
      </c>
      <c r="F29" s="33" t="s">
        <v>23</v>
      </c>
      <c r="G29">
        <v>70</v>
      </c>
    </row>
    <row r="30" spans="1:7" x14ac:dyDescent="0.25">
      <c r="A30" s="33" t="s">
        <v>54</v>
      </c>
      <c r="B30" s="33" t="s">
        <v>8</v>
      </c>
      <c r="C30" s="33" t="s">
        <v>55</v>
      </c>
      <c r="D30" s="33" t="s">
        <v>182</v>
      </c>
      <c r="E30" s="33" t="s">
        <v>4</v>
      </c>
      <c r="F30" s="33" t="s">
        <v>23</v>
      </c>
      <c r="G30">
        <v>3</v>
      </c>
    </row>
    <row r="31" spans="1:7" x14ac:dyDescent="0.25">
      <c r="A31" s="33" t="s">
        <v>56</v>
      </c>
      <c r="B31" s="33" t="s">
        <v>8</v>
      </c>
      <c r="C31" s="33" t="s">
        <v>55</v>
      </c>
      <c r="D31" s="33" t="s">
        <v>182</v>
      </c>
      <c r="E31" s="33" t="s">
        <v>4</v>
      </c>
      <c r="F31" s="33" t="s">
        <v>23</v>
      </c>
      <c r="G31">
        <v>10</v>
      </c>
    </row>
    <row r="32" spans="1:7" x14ac:dyDescent="0.25">
      <c r="A32" s="33" t="s">
        <v>57</v>
      </c>
      <c r="B32" s="33" t="s">
        <v>8</v>
      </c>
      <c r="C32" s="33" t="s">
        <v>55</v>
      </c>
      <c r="D32" s="33" t="s">
        <v>182</v>
      </c>
      <c r="E32" s="33" t="s">
        <v>4</v>
      </c>
      <c r="F32" s="33" t="s">
        <v>23</v>
      </c>
      <c r="G32">
        <v>30</v>
      </c>
    </row>
    <row r="33" spans="1:7" x14ac:dyDescent="0.25">
      <c r="A33" s="33" t="s">
        <v>58</v>
      </c>
      <c r="B33" s="33" t="s">
        <v>8</v>
      </c>
      <c r="C33" s="33" t="s">
        <v>55</v>
      </c>
      <c r="D33" s="33" t="s">
        <v>182</v>
      </c>
      <c r="E33" s="33" t="s">
        <v>4</v>
      </c>
      <c r="F33" s="33" t="s">
        <v>23</v>
      </c>
      <c r="G33">
        <v>70</v>
      </c>
    </row>
    <row r="34" spans="1:7" x14ac:dyDescent="0.25">
      <c r="A34" s="33" t="s">
        <v>59</v>
      </c>
      <c r="B34" s="33" t="s">
        <v>8</v>
      </c>
      <c r="C34" s="33" t="s">
        <v>55</v>
      </c>
      <c r="D34" s="33" t="s">
        <v>182</v>
      </c>
      <c r="E34" s="33" t="s">
        <v>3</v>
      </c>
      <c r="F34" s="33" t="s">
        <v>28</v>
      </c>
      <c r="G34">
        <v>3</v>
      </c>
    </row>
    <row r="35" spans="1:7" x14ac:dyDescent="0.25">
      <c r="A35" s="33" t="s">
        <v>60</v>
      </c>
      <c r="B35" s="33" t="s">
        <v>8</v>
      </c>
      <c r="C35" s="33" t="s">
        <v>55</v>
      </c>
      <c r="D35" s="33" t="s">
        <v>182</v>
      </c>
      <c r="E35" s="33" t="s">
        <v>3</v>
      </c>
      <c r="F35" s="33" t="s">
        <v>28</v>
      </c>
      <c r="G35">
        <v>10</v>
      </c>
    </row>
    <row r="36" spans="1:7" x14ac:dyDescent="0.25">
      <c r="A36" s="33" t="s">
        <v>61</v>
      </c>
      <c r="B36" s="33" t="s">
        <v>8</v>
      </c>
      <c r="C36" s="33" t="s">
        <v>55</v>
      </c>
      <c r="D36" s="33" t="s">
        <v>182</v>
      </c>
      <c r="E36" s="33" t="s">
        <v>3</v>
      </c>
      <c r="F36" s="33" t="s">
        <v>28</v>
      </c>
      <c r="G36">
        <v>30</v>
      </c>
    </row>
    <row r="37" spans="1:7" x14ac:dyDescent="0.25">
      <c r="A37" s="33" t="s">
        <v>62</v>
      </c>
      <c r="B37" s="33" t="s">
        <v>8</v>
      </c>
      <c r="C37" s="33" t="s">
        <v>55</v>
      </c>
      <c r="D37" s="33" t="s">
        <v>182</v>
      </c>
      <c r="E37" s="33" t="s">
        <v>3</v>
      </c>
      <c r="F37" s="33" t="s">
        <v>28</v>
      </c>
      <c r="G37">
        <v>70</v>
      </c>
    </row>
    <row r="38" spans="1:7" x14ac:dyDescent="0.25">
      <c r="A38" s="33" t="s">
        <v>63</v>
      </c>
      <c r="B38" s="33" t="s">
        <v>8</v>
      </c>
      <c r="C38" s="33" t="s">
        <v>55</v>
      </c>
      <c r="D38" s="33" t="s">
        <v>182</v>
      </c>
      <c r="E38" s="33" t="s">
        <v>5</v>
      </c>
      <c r="F38" s="33" t="s">
        <v>64</v>
      </c>
      <c r="G38">
        <v>3</v>
      </c>
    </row>
    <row r="39" spans="1:7" x14ac:dyDescent="0.25">
      <c r="A39" s="33" t="s">
        <v>65</v>
      </c>
      <c r="B39" s="33" t="s">
        <v>8</v>
      </c>
      <c r="C39" s="33" t="s">
        <v>55</v>
      </c>
      <c r="D39" s="33" t="s">
        <v>182</v>
      </c>
      <c r="E39" s="33" t="s">
        <v>5</v>
      </c>
      <c r="F39" s="33" t="s">
        <v>64</v>
      </c>
      <c r="G39">
        <v>10</v>
      </c>
    </row>
    <row r="40" spans="1:7" x14ac:dyDescent="0.25">
      <c r="A40" s="33" t="s">
        <v>66</v>
      </c>
      <c r="B40" s="33" t="s">
        <v>8</v>
      </c>
      <c r="C40" s="33" t="s">
        <v>55</v>
      </c>
      <c r="D40" s="33" t="s">
        <v>182</v>
      </c>
      <c r="E40" s="33" t="s">
        <v>5</v>
      </c>
      <c r="F40" s="33" t="s">
        <v>64</v>
      </c>
      <c r="G40">
        <v>30</v>
      </c>
    </row>
    <row r="41" spans="1:7" x14ac:dyDescent="0.25">
      <c r="A41" s="33" t="s">
        <v>67</v>
      </c>
      <c r="B41" s="33" t="s">
        <v>8</v>
      </c>
      <c r="C41" s="33" t="s">
        <v>55</v>
      </c>
      <c r="D41" s="33" t="s">
        <v>182</v>
      </c>
      <c r="E41" s="33" t="s">
        <v>5</v>
      </c>
      <c r="F41" s="33" t="s">
        <v>64</v>
      </c>
      <c r="G41">
        <v>70</v>
      </c>
    </row>
    <row r="42" spans="1:7" x14ac:dyDescent="0.25">
      <c r="A42" s="33" t="s">
        <v>77</v>
      </c>
      <c r="B42" s="33" t="s">
        <v>187</v>
      </c>
      <c r="C42" s="33" t="s">
        <v>78</v>
      </c>
      <c r="D42" s="33" t="s">
        <v>182</v>
      </c>
      <c r="E42" s="33" t="s">
        <v>3</v>
      </c>
      <c r="F42" s="33" t="s">
        <v>28</v>
      </c>
      <c r="G42">
        <v>3</v>
      </c>
    </row>
    <row r="43" spans="1:7" x14ac:dyDescent="0.25">
      <c r="A43" s="33" t="s">
        <v>79</v>
      </c>
      <c r="B43" s="33" t="s">
        <v>187</v>
      </c>
      <c r="C43" s="33" t="s">
        <v>78</v>
      </c>
      <c r="D43" s="33" t="s">
        <v>182</v>
      </c>
      <c r="E43" s="33" t="s">
        <v>3</v>
      </c>
      <c r="F43" s="33" t="s">
        <v>28</v>
      </c>
      <c r="G43">
        <v>10</v>
      </c>
    </row>
    <row r="44" spans="1:7" x14ac:dyDescent="0.25">
      <c r="A44" s="33" t="s">
        <v>80</v>
      </c>
      <c r="B44" s="33" t="s">
        <v>187</v>
      </c>
      <c r="C44" s="33" t="s">
        <v>78</v>
      </c>
      <c r="D44" s="33" t="s">
        <v>182</v>
      </c>
      <c r="E44" s="33" t="s">
        <v>3</v>
      </c>
      <c r="F44" s="33" t="s">
        <v>28</v>
      </c>
      <c r="G44">
        <v>30</v>
      </c>
    </row>
    <row r="45" spans="1:7" x14ac:dyDescent="0.25">
      <c r="A45" s="33" t="s">
        <v>81</v>
      </c>
      <c r="B45" s="33" t="s">
        <v>187</v>
      </c>
      <c r="C45" s="33" t="s">
        <v>78</v>
      </c>
      <c r="D45" s="33" t="s">
        <v>182</v>
      </c>
      <c r="E45" s="33" t="s">
        <v>3</v>
      </c>
      <c r="F45" s="33" t="s">
        <v>28</v>
      </c>
      <c r="G45">
        <v>70</v>
      </c>
    </row>
    <row r="46" spans="1:7" x14ac:dyDescent="0.25">
      <c r="A46" s="33" t="s">
        <v>68</v>
      </c>
      <c r="B46" s="33" t="s">
        <v>188</v>
      </c>
      <c r="C46" s="33" t="s">
        <v>69</v>
      </c>
      <c r="D46" s="33" t="s">
        <v>182</v>
      </c>
      <c r="E46" s="33" t="s">
        <v>3</v>
      </c>
      <c r="F46" s="33" t="s">
        <v>28</v>
      </c>
      <c r="G46">
        <v>3</v>
      </c>
    </row>
    <row r="47" spans="1:7" x14ac:dyDescent="0.25">
      <c r="A47" s="33" t="s">
        <v>70</v>
      </c>
      <c r="B47" s="33" t="s">
        <v>188</v>
      </c>
      <c r="C47" s="33" t="s">
        <v>69</v>
      </c>
      <c r="D47" s="33" t="s">
        <v>182</v>
      </c>
      <c r="E47" s="33" t="s">
        <v>3</v>
      </c>
      <c r="F47" s="33" t="s">
        <v>28</v>
      </c>
      <c r="G47">
        <v>10</v>
      </c>
    </row>
    <row r="48" spans="1:7" x14ac:dyDescent="0.25">
      <c r="A48" s="33" t="s">
        <v>71</v>
      </c>
      <c r="B48" s="33" t="s">
        <v>188</v>
      </c>
      <c r="C48" s="33" t="s">
        <v>69</v>
      </c>
      <c r="D48" s="33" t="s">
        <v>182</v>
      </c>
      <c r="E48" s="33" t="s">
        <v>3</v>
      </c>
      <c r="F48" s="33" t="s">
        <v>28</v>
      </c>
      <c r="G48">
        <v>30</v>
      </c>
    </row>
    <row r="49" spans="1:7" x14ac:dyDescent="0.25">
      <c r="A49" s="33" t="s">
        <v>72</v>
      </c>
      <c r="B49" s="33" t="s">
        <v>188</v>
      </c>
      <c r="C49" s="33" t="s">
        <v>69</v>
      </c>
      <c r="D49" s="33" t="s">
        <v>182</v>
      </c>
      <c r="E49" s="33" t="s">
        <v>3</v>
      </c>
      <c r="F49" s="33" t="s">
        <v>28</v>
      </c>
      <c r="G49">
        <v>70</v>
      </c>
    </row>
    <row r="50" spans="1:7" x14ac:dyDescent="0.25">
      <c r="A50" s="33" t="s">
        <v>73</v>
      </c>
      <c r="B50" s="33" t="s">
        <v>188</v>
      </c>
      <c r="C50" s="33" t="s">
        <v>69</v>
      </c>
      <c r="D50" s="33" t="s">
        <v>182</v>
      </c>
      <c r="E50" s="33" t="s">
        <v>4</v>
      </c>
      <c r="F50" s="33" t="s">
        <v>23</v>
      </c>
      <c r="G50">
        <v>3</v>
      </c>
    </row>
    <row r="51" spans="1:7" x14ac:dyDescent="0.25">
      <c r="A51" s="33" t="s">
        <v>74</v>
      </c>
      <c r="B51" s="33" t="s">
        <v>188</v>
      </c>
      <c r="C51" s="33" t="s">
        <v>69</v>
      </c>
      <c r="D51" s="33" t="s">
        <v>182</v>
      </c>
      <c r="E51" s="33" t="s">
        <v>4</v>
      </c>
      <c r="F51" s="33" t="s">
        <v>23</v>
      </c>
      <c r="G51">
        <v>10</v>
      </c>
    </row>
    <row r="52" spans="1:7" x14ac:dyDescent="0.25">
      <c r="A52" s="33" t="s">
        <v>75</v>
      </c>
      <c r="B52" s="33" t="s">
        <v>188</v>
      </c>
      <c r="C52" s="33" t="s">
        <v>69</v>
      </c>
      <c r="D52" s="33" t="s">
        <v>182</v>
      </c>
      <c r="E52" s="33" t="s">
        <v>4</v>
      </c>
      <c r="F52" s="33" t="s">
        <v>23</v>
      </c>
      <c r="G52">
        <v>30</v>
      </c>
    </row>
    <row r="53" spans="1:7" x14ac:dyDescent="0.25">
      <c r="A53" s="33" t="s">
        <v>76</v>
      </c>
      <c r="B53" s="33" t="s">
        <v>188</v>
      </c>
      <c r="C53" s="33" t="s">
        <v>69</v>
      </c>
      <c r="D53" s="33" t="s">
        <v>182</v>
      </c>
      <c r="E53" s="33" t="s">
        <v>4</v>
      </c>
      <c r="F53" s="33" t="s">
        <v>23</v>
      </c>
      <c r="G53">
        <v>70</v>
      </c>
    </row>
    <row r="54" spans="1:7" x14ac:dyDescent="0.25">
      <c r="A54" s="33" t="s">
        <v>82</v>
      </c>
      <c r="B54" s="33" t="s">
        <v>9</v>
      </c>
      <c r="C54" s="33" t="s">
        <v>83</v>
      </c>
      <c r="D54" s="33" t="s">
        <v>182</v>
      </c>
      <c r="E54" s="33" t="s">
        <v>5</v>
      </c>
      <c r="F54" s="33" t="s">
        <v>64</v>
      </c>
      <c r="G54">
        <v>3</v>
      </c>
    </row>
    <row r="55" spans="1:7" x14ac:dyDescent="0.25">
      <c r="A55" s="33" t="s">
        <v>84</v>
      </c>
      <c r="B55" s="33" t="s">
        <v>9</v>
      </c>
      <c r="C55" s="33" t="s">
        <v>83</v>
      </c>
      <c r="D55" s="33" t="s">
        <v>182</v>
      </c>
      <c r="E55" s="33" t="s">
        <v>5</v>
      </c>
      <c r="F55" s="33" t="s">
        <v>64</v>
      </c>
      <c r="G55">
        <v>10</v>
      </c>
    </row>
    <row r="56" spans="1:7" x14ac:dyDescent="0.25">
      <c r="A56" s="33" t="s">
        <v>85</v>
      </c>
      <c r="B56" s="33" t="s">
        <v>9</v>
      </c>
      <c r="C56" s="33" t="s">
        <v>83</v>
      </c>
      <c r="D56" s="33" t="s">
        <v>182</v>
      </c>
      <c r="E56" s="33" t="s">
        <v>5</v>
      </c>
      <c r="F56" s="33" t="s">
        <v>64</v>
      </c>
      <c r="G56">
        <v>30</v>
      </c>
    </row>
    <row r="57" spans="1:7" x14ac:dyDescent="0.25">
      <c r="A57" s="33" t="s">
        <v>86</v>
      </c>
      <c r="B57" s="33" t="s">
        <v>9</v>
      </c>
      <c r="C57" s="33" t="s">
        <v>83</v>
      </c>
      <c r="D57" s="33" t="s">
        <v>182</v>
      </c>
      <c r="E57" s="33" t="s">
        <v>5</v>
      </c>
      <c r="F57" s="33" t="s">
        <v>64</v>
      </c>
      <c r="G57">
        <v>70</v>
      </c>
    </row>
    <row r="58" spans="1:7" x14ac:dyDescent="0.25">
      <c r="A58" s="33" t="s">
        <v>87</v>
      </c>
      <c r="B58" s="33" t="s">
        <v>4</v>
      </c>
      <c r="C58" s="33" t="s">
        <v>23</v>
      </c>
      <c r="D58" s="33" t="s">
        <v>182</v>
      </c>
      <c r="E58" s="33" t="s">
        <v>5</v>
      </c>
      <c r="F58" s="33" t="s">
        <v>64</v>
      </c>
      <c r="G58">
        <v>3</v>
      </c>
    </row>
    <row r="59" spans="1:7" x14ac:dyDescent="0.25">
      <c r="A59" s="33" t="s">
        <v>88</v>
      </c>
      <c r="B59" s="33" t="s">
        <v>4</v>
      </c>
      <c r="C59" s="33" t="s">
        <v>23</v>
      </c>
      <c r="D59" s="33" t="s">
        <v>182</v>
      </c>
      <c r="E59" s="33" t="s">
        <v>5</v>
      </c>
      <c r="F59" s="33" t="s">
        <v>64</v>
      </c>
      <c r="G59">
        <v>10</v>
      </c>
    </row>
    <row r="60" spans="1:7" x14ac:dyDescent="0.25">
      <c r="A60" s="33" t="s">
        <v>89</v>
      </c>
      <c r="B60" s="33" t="s">
        <v>4</v>
      </c>
      <c r="C60" s="33" t="s">
        <v>23</v>
      </c>
      <c r="D60" s="33" t="s">
        <v>182</v>
      </c>
      <c r="E60" s="33" t="s">
        <v>5</v>
      </c>
      <c r="F60" s="33" t="s">
        <v>64</v>
      </c>
      <c r="G60">
        <v>30</v>
      </c>
    </row>
    <row r="61" spans="1:7" x14ac:dyDescent="0.25">
      <c r="A61" s="33" t="s">
        <v>90</v>
      </c>
      <c r="B61" s="33" t="s">
        <v>4</v>
      </c>
      <c r="C61" s="33" t="s">
        <v>23</v>
      </c>
      <c r="D61" s="33" t="s">
        <v>182</v>
      </c>
      <c r="E61" s="33" t="s">
        <v>5</v>
      </c>
      <c r="F61" s="33" t="s">
        <v>64</v>
      </c>
      <c r="G61">
        <v>70</v>
      </c>
    </row>
    <row r="62" spans="1:7" x14ac:dyDescent="0.25">
      <c r="A62" s="33" t="s">
        <v>101</v>
      </c>
      <c r="B62" s="33" t="s">
        <v>10</v>
      </c>
      <c r="C62" s="33" t="s">
        <v>102</v>
      </c>
      <c r="D62" s="33" t="s">
        <v>182</v>
      </c>
      <c r="E62" s="33" t="s">
        <v>5</v>
      </c>
      <c r="F62" s="33" t="s">
        <v>64</v>
      </c>
      <c r="G62">
        <v>3</v>
      </c>
    </row>
    <row r="63" spans="1:7" x14ac:dyDescent="0.25">
      <c r="A63" s="33" t="s">
        <v>103</v>
      </c>
      <c r="B63" s="33" t="s">
        <v>10</v>
      </c>
      <c r="C63" s="33" t="s">
        <v>102</v>
      </c>
      <c r="D63" s="33" t="s">
        <v>182</v>
      </c>
      <c r="E63" s="33" t="s">
        <v>5</v>
      </c>
      <c r="F63" s="33" t="s">
        <v>64</v>
      </c>
      <c r="G63">
        <v>10</v>
      </c>
    </row>
    <row r="64" spans="1:7" x14ac:dyDescent="0.25">
      <c r="A64" s="33" t="s">
        <v>104</v>
      </c>
      <c r="B64" s="33" t="s">
        <v>10</v>
      </c>
      <c r="C64" s="33" t="s">
        <v>102</v>
      </c>
      <c r="D64" s="33" t="s">
        <v>182</v>
      </c>
      <c r="E64" s="33" t="s">
        <v>5</v>
      </c>
      <c r="F64" s="33" t="s">
        <v>64</v>
      </c>
      <c r="G64">
        <v>30</v>
      </c>
    </row>
    <row r="65" spans="1:7" x14ac:dyDescent="0.25">
      <c r="A65" s="33" t="s">
        <v>105</v>
      </c>
      <c r="B65" s="33" t="s">
        <v>10</v>
      </c>
      <c r="C65" s="33" t="s">
        <v>102</v>
      </c>
      <c r="D65" s="33" t="s">
        <v>182</v>
      </c>
      <c r="E65" s="33" t="s">
        <v>5</v>
      </c>
      <c r="F65" s="33" t="s">
        <v>64</v>
      </c>
      <c r="G65">
        <v>70</v>
      </c>
    </row>
    <row r="66" spans="1:7" x14ac:dyDescent="0.25">
      <c r="A66" s="33" t="s">
        <v>91</v>
      </c>
      <c r="B66" s="33" t="s">
        <v>189</v>
      </c>
      <c r="C66" s="33" t="s">
        <v>92</v>
      </c>
      <c r="D66" s="33" t="s">
        <v>182</v>
      </c>
      <c r="E66" s="33" t="s">
        <v>5</v>
      </c>
      <c r="F66" s="33" t="s">
        <v>64</v>
      </c>
      <c r="G66">
        <v>3</v>
      </c>
    </row>
    <row r="67" spans="1:7" x14ac:dyDescent="0.25">
      <c r="A67" s="33" t="s">
        <v>93</v>
      </c>
      <c r="B67" s="33" t="s">
        <v>189</v>
      </c>
      <c r="C67" s="33" t="s">
        <v>92</v>
      </c>
      <c r="D67" s="33" t="s">
        <v>182</v>
      </c>
      <c r="E67" s="33" t="s">
        <v>5</v>
      </c>
      <c r="F67" s="33" t="s">
        <v>64</v>
      </c>
      <c r="G67">
        <v>10</v>
      </c>
    </row>
    <row r="68" spans="1:7" x14ac:dyDescent="0.25">
      <c r="A68" s="33" t="s">
        <v>94</v>
      </c>
      <c r="B68" s="33" t="s">
        <v>189</v>
      </c>
      <c r="C68" s="33" t="s">
        <v>92</v>
      </c>
      <c r="D68" s="33" t="s">
        <v>182</v>
      </c>
      <c r="E68" s="33" t="s">
        <v>5</v>
      </c>
      <c r="F68" s="33" t="s">
        <v>64</v>
      </c>
      <c r="G68">
        <v>30</v>
      </c>
    </row>
    <row r="69" spans="1:7" x14ac:dyDescent="0.25">
      <c r="A69" s="33" t="s">
        <v>95</v>
      </c>
      <c r="B69" s="33" t="s">
        <v>189</v>
      </c>
      <c r="C69" s="33" t="s">
        <v>92</v>
      </c>
      <c r="D69" s="33" t="s">
        <v>182</v>
      </c>
      <c r="E69" s="33" t="s">
        <v>5</v>
      </c>
      <c r="F69" s="33" t="s">
        <v>64</v>
      </c>
      <c r="G69">
        <v>70</v>
      </c>
    </row>
    <row r="70" spans="1:7" x14ac:dyDescent="0.25">
      <c r="A70" s="33" t="s">
        <v>96</v>
      </c>
      <c r="B70" s="33" t="s">
        <v>190</v>
      </c>
      <c r="C70" s="33" t="s">
        <v>97</v>
      </c>
      <c r="D70" s="33" t="s">
        <v>182</v>
      </c>
      <c r="E70" s="33" t="s">
        <v>5</v>
      </c>
      <c r="F70" s="33" t="s">
        <v>64</v>
      </c>
      <c r="G70">
        <v>3</v>
      </c>
    </row>
    <row r="71" spans="1:7" x14ac:dyDescent="0.25">
      <c r="A71" s="33" t="s">
        <v>98</v>
      </c>
      <c r="B71" s="33" t="s">
        <v>190</v>
      </c>
      <c r="C71" s="33" t="s">
        <v>97</v>
      </c>
      <c r="D71" s="33" t="s">
        <v>182</v>
      </c>
      <c r="E71" s="33" t="s">
        <v>5</v>
      </c>
      <c r="F71" s="33" t="s">
        <v>64</v>
      </c>
      <c r="G71">
        <v>10</v>
      </c>
    </row>
    <row r="72" spans="1:7" x14ac:dyDescent="0.25">
      <c r="A72" s="33" t="s">
        <v>99</v>
      </c>
      <c r="B72" s="33" t="s">
        <v>190</v>
      </c>
      <c r="C72" s="33" t="s">
        <v>97</v>
      </c>
      <c r="D72" s="33" t="s">
        <v>182</v>
      </c>
      <c r="E72" s="33" t="s">
        <v>5</v>
      </c>
      <c r="F72" s="33" t="s">
        <v>64</v>
      </c>
      <c r="G72">
        <v>30</v>
      </c>
    </row>
    <row r="73" spans="1:7" x14ac:dyDescent="0.25">
      <c r="A73" s="33" t="s">
        <v>100</v>
      </c>
      <c r="B73" s="33" t="s">
        <v>190</v>
      </c>
      <c r="C73" s="33" t="s">
        <v>97</v>
      </c>
      <c r="D73" s="33" t="s">
        <v>182</v>
      </c>
      <c r="E73" s="33" t="s">
        <v>5</v>
      </c>
      <c r="F73" s="33" t="s">
        <v>64</v>
      </c>
      <c r="G73">
        <v>70</v>
      </c>
    </row>
    <row r="74" spans="1:7" x14ac:dyDescent="0.25">
      <c r="A74" s="33" t="s">
        <v>106</v>
      </c>
      <c r="B74" s="33" t="s">
        <v>191</v>
      </c>
      <c r="C74" s="33" t="s">
        <v>107</v>
      </c>
      <c r="D74" s="33" t="s">
        <v>182</v>
      </c>
      <c r="E74" s="33" t="s">
        <v>5</v>
      </c>
      <c r="F74" s="33" t="s">
        <v>64</v>
      </c>
      <c r="G74">
        <v>3</v>
      </c>
    </row>
    <row r="75" spans="1:7" x14ac:dyDescent="0.25">
      <c r="A75" s="33" t="s">
        <v>108</v>
      </c>
      <c r="B75" s="33" t="s">
        <v>191</v>
      </c>
      <c r="C75" s="33" t="s">
        <v>107</v>
      </c>
      <c r="D75" s="33" t="s">
        <v>182</v>
      </c>
      <c r="E75" s="33" t="s">
        <v>5</v>
      </c>
      <c r="F75" s="33" t="s">
        <v>64</v>
      </c>
      <c r="G75">
        <v>10</v>
      </c>
    </row>
    <row r="76" spans="1:7" x14ac:dyDescent="0.25">
      <c r="A76" s="33" t="s">
        <v>109</v>
      </c>
      <c r="B76" s="33" t="s">
        <v>191</v>
      </c>
      <c r="C76" s="33" t="s">
        <v>107</v>
      </c>
      <c r="D76" s="33" t="s">
        <v>182</v>
      </c>
      <c r="E76" s="33" t="s">
        <v>5</v>
      </c>
      <c r="F76" s="33" t="s">
        <v>64</v>
      </c>
      <c r="G76">
        <v>30</v>
      </c>
    </row>
    <row r="77" spans="1:7" x14ac:dyDescent="0.25">
      <c r="A77" s="33" t="s">
        <v>110</v>
      </c>
      <c r="B77" s="33" t="s">
        <v>191</v>
      </c>
      <c r="C77" s="33" t="s">
        <v>107</v>
      </c>
      <c r="D77" s="33" t="s">
        <v>182</v>
      </c>
      <c r="E77" s="33" t="s">
        <v>5</v>
      </c>
      <c r="F77" s="33" t="s">
        <v>64</v>
      </c>
      <c r="G77">
        <v>70</v>
      </c>
    </row>
    <row r="78" spans="1:7" x14ac:dyDescent="0.25">
      <c r="A78" s="32" t="s">
        <v>111</v>
      </c>
      <c r="B78" s="33" t="s">
        <v>11</v>
      </c>
      <c r="C78" s="33" t="s">
        <v>112</v>
      </c>
      <c r="D78" s="33" t="s">
        <v>182</v>
      </c>
      <c r="E78" s="33" t="s">
        <v>5</v>
      </c>
      <c r="F78" s="33" t="s">
        <v>64</v>
      </c>
      <c r="G78">
        <v>3</v>
      </c>
    </row>
    <row r="79" spans="1:7" x14ac:dyDescent="0.25">
      <c r="A79" s="32" t="s">
        <v>113</v>
      </c>
      <c r="B79" s="33" t="s">
        <v>11</v>
      </c>
      <c r="C79" s="33" t="s">
        <v>112</v>
      </c>
      <c r="D79" s="33" t="s">
        <v>182</v>
      </c>
      <c r="E79" s="33" t="s">
        <v>5</v>
      </c>
      <c r="F79" s="33" t="s">
        <v>64</v>
      </c>
      <c r="G79">
        <v>10</v>
      </c>
    </row>
    <row r="80" spans="1:7" x14ac:dyDescent="0.25">
      <c r="A80" s="32" t="s">
        <v>114</v>
      </c>
      <c r="B80" s="33" t="s">
        <v>11</v>
      </c>
      <c r="C80" s="33" t="s">
        <v>112</v>
      </c>
      <c r="D80" s="33" t="s">
        <v>182</v>
      </c>
      <c r="E80" s="33" t="s">
        <v>5</v>
      </c>
      <c r="F80" s="33" t="s">
        <v>64</v>
      </c>
      <c r="G80">
        <v>30</v>
      </c>
    </row>
    <row r="81" spans="1:7" x14ac:dyDescent="0.25">
      <c r="A81" s="32" t="s">
        <v>115</v>
      </c>
      <c r="B81" s="33" t="s">
        <v>11</v>
      </c>
      <c r="C81" s="33" t="s">
        <v>112</v>
      </c>
      <c r="D81" s="33" t="s">
        <v>182</v>
      </c>
      <c r="E81" s="33" t="s">
        <v>5</v>
      </c>
      <c r="F81" s="33" t="s">
        <v>64</v>
      </c>
      <c r="G81">
        <v>70</v>
      </c>
    </row>
    <row r="82" spans="1:7" x14ac:dyDescent="0.25">
      <c r="A82" s="32" t="s">
        <v>160</v>
      </c>
      <c r="B82" s="33" t="s">
        <v>11</v>
      </c>
      <c r="C82" s="33" t="s">
        <v>112</v>
      </c>
      <c r="D82" s="33" t="s">
        <v>182</v>
      </c>
      <c r="E82" s="33" t="s">
        <v>192</v>
      </c>
      <c r="F82" s="33" t="s">
        <v>193</v>
      </c>
      <c r="G82">
        <v>3</v>
      </c>
    </row>
    <row r="83" spans="1:7" x14ac:dyDescent="0.25">
      <c r="A83" s="32" t="s">
        <v>161</v>
      </c>
      <c r="B83" s="33" t="s">
        <v>11</v>
      </c>
      <c r="C83" s="33" t="s">
        <v>112</v>
      </c>
      <c r="D83" s="33" t="s">
        <v>182</v>
      </c>
      <c r="E83" s="33" t="s">
        <v>192</v>
      </c>
      <c r="F83" s="33" t="s">
        <v>193</v>
      </c>
      <c r="G83">
        <v>10</v>
      </c>
    </row>
    <row r="84" spans="1:7" x14ac:dyDescent="0.25">
      <c r="A84" s="32" t="s">
        <v>162</v>
      </c>
      <c r="B84" s="33" t="s">
        <v>11</v>
      </c>
      <c r="C84" s="33" t="s">
        <v>112</v>
      </c>
      <c r="D84" s="33" t="s">
        <v>182</v>
      </c>
      <c r="E84" s="33" t="s">
        <v>192</v>
      </c>
      <c r="F84" s="33" t="s">
        <v>193</v>
      </c>
      <c r="G84">
        <v>30</v>
      </c>
    </row>
    <row r="85" spans="1:7" x14ac:dyDescent="0.25">
      <c r="A85" s="32" t="s">
        <v>163</v>
      </c>
      <c r="B85" s="33" t="s">
        <v>11</v>
      </c>
      <c r="C85" s="33" t="s">
        <v>112</v>
      </c>
      <c r="D85" s="33" t="s">
        <v>182</v>
      </c>
      <c r="E85" s="33" t="s">
        <v>192</v>
      </c>
      <c r="F85" s="33" t="s">
        <v>193</v>
      </c>
      <c r="G85">
        <v>70</v>
      </c>
    </row>
    <row r="86" spans="1:7" x14ac:dyDescent="0.25">
      <c r="A86" s="33" t="s">
        <v>116</v>
      </c>
      <c r="B86" s="33" t="s">
        <v>12</v>
      </c>
      <c r="C86" s="33" t="s">
        <v>117</v>
      </c>
      <c r="D86" s="33" t="s">
        <v>182</v>
      </c>
      <c r="E86" s="33" t="s">
        <v>5</v>
      </c>
      <c r="F86" s="33" t="s">
        <v>64</v>
      </c>
      <c r="G86">
        <v>3</v>
      </c>
    </row>
    <row r="87" spans="1:7" x14ac:dyDescent="0.25">
      <c r="A87" s="33" t="s">
        <v>118</v>
      </c>
      <c r="B87" s="33" t="s">
        <v>12</v>
      </c>
      <c r="C87" s="33" t="s">
        <v>117</v>
      </c>
      <c r="D87" s="33" t="s">
        <v>182</v>
      </c>
      <c r="E87" s="33" t="s">
        <v>5</v>
      </c>
      <c r="F87" s="33" t="s">
        <v>64</v>
      </c>
      <c r="G87">
        <v>10</v>
      </c>
    </row>
    <row r="88" spans="1:7" x14ac:dyDescent="0.25">
      <c r="A88" s="33" t="s">
        <v>119</v>
      </c>
      <c r="B88" s="33" t="s">
        <v>12</v>
      </c>
      <c r="C88" s="33" t="s">
        <v>117</v>
      </c>
      <c r="D88" s="33" t="s">
        <v>182</v>
      </c>
      <c r="E88" s="33" t="s">
        <v>5</v>
      </c>
      <c r="F88" s="33" t="s">
        <v>64</v>
      </c>
      <c r="G88">
        <v>30</v>
      </c>
    </row>
    <row r="89" spans="1:7" x14ac:dyDescent="0.25">
      <c r="A89" s="33" t="s">
        <v>120</v>
      </c>
      <c r="B89" s="33" t="s">
        <v>12</v>
      </c>
      <c r="C89" s="33" t="s">
        <v>117</v>
      </c>
      <c r="D89" s="33" t="s">
        <v>182</v>
      </c>
      <c r="E89" s="33" t="s">
        <v>5</v>
      </c>
      <c r="F89" s="33" t="s">
        <v>64</v>
      </c>
      <c r="G89">
        <v>70</v>
      </c>
    </row>
    <row r="90" spans="1:7" x14ac:dyDescent="0.25">
      <c r="A90" s="33" t="s">
        <v>164</v>
      </c>
      <c r="B90" s="33" t="s">
        <v>12</v>
      </c>
      <c r="C90" s="33" t="s">
        <v>117</v>
      </c>
      <c r="D90" s="33" t="s">
        <v>182</v>
      </c>
      <c r="E90" s="33" t="s">
        <v>192</v>
      </c>
      <c r="F90" s="33" t="s">
        <v>193</v>
      </c>
      <c r="G90">
        <v>3</v>
      </c>
    </row>
    <row r="91" spans="1:7" x14ac:dyDescent="0.25">
      <c r="A91" s="33" t="s">
        <v>165</v>
      </c>
      <c r="B91" s="33" t="s">
        <v>12</v>
      </c>
      <c r="C91" s="33" t="s">
        <v>117</v>
      </c>
      <c r="D91" s="33" t="s">
        <v>182</v>
      </c>
      <c r="E91" s="33" t="s">
        <v>192</v>
      </c>
      <c r="F91" s="33" t="s">
        <v>193</v>
      </c>
      <c r="G91">
        <v>10</v>
      </c>
    </row>
    <row r="92" spans="1:7" x14ac:dyDescent="0.25">
      <c r="A92" s="33" t="s">
        <v>166</v>
      </c>
      <c r="B92" s="33" t="s">
        <v>12</v>
      </c>
      <c r="C92" s="33" t="s">
        <v>117</v>
      </c>
      <c r="D92" s="33" t="s">
        <v>182</v>
      </c>
      <c r="E92" s="33" t="s">
        <v>192</v>
      </c>
      <c r="F92" s="33" t="s">
        <v>193</v>
      </c>
      <c r="G92">
        <v>30</v>
      </c>
    </row>
    <row r="93" spans="1:7" x14ac:dyDescent="0.25">
      <c r="A93" s="33" t="s">
        <v>167</v>
      </c>
      <c r="B93" s="33" t="s">
        <v>12</v>
      </c>
      <c r="C93" s="33" t="s">
        <v>117</v>
      </c>
      <c r="D93" s="33" t="s">
        <v>182</v>
      </c>
      <c r="E93" s="33" t="s">
        <v>192</v>
      </c>
      <c r="F93" s="33" t="s">
        <v>193</v>
      </c>
      <c r="G93">
        <v>70</v>
      </c>
    </row>
    <row r="94" spans="1:7" x14ac:dyDescent="0.25">
      <c r="A94" s="33" t="s">
        <v>121</v>
      </c>
      <c r="B94" s="33" t="s">
        <v>13</v>
      </c>
      <c r="C94" s="33" t="s">
        <v>122</v>
      </c>
      <c r="D94" s="33" t="s">
        <v>182</v>
      </c>
      <c r="E94" s="33" t="s">
        <v>5</v>
      </c>
      <c r="F94" s="33" t="s">
        <v>64</v>
      </c>
      <c r="G94">
        <v>3</v>
      </c>
    </row>
    <row r="95" spans="1:7" x14ac:dyDescent="0.25">
      <c r="A95" s="33" t="s">
        <v>123</v>
      </c>
      <c r="B95" s="33" t="s">
        <v>13</v>
      </c>
      <c r="C95" s="33" t="s">
        <v>122</v>
      </c>
      <c r="D95" s="33" t="s">
        <v>182</v>
      </c>
      <c r="E95" s="33" t="s">
        <v>5</v>
      </c>
      <c r="F95" s="33" t="s">
        <v>64</v>
      </c>
      <c r="G95">
        <v>10</v>
      </c>
    </row>
    <row r="96" spans="1:7" x14ac:dyDescent="0.25">
      <c r="A96" s="33" t="s">
        <v>124</v>
      </c>
      <c r="B96" s="33" t="s">
        <v>13</v>
      </c>
      <c r="C96" s="33" t="s">
        <v>122</v>
      </c>
      <c r="D96" s="33" t="s">
        <v>182</v>
      </c>
      <c r="E96" s="33" t="s">
        <v>5</v>
      </c>
      <c r="F96" s="33" t="s">
        <v>64</v>
      </c>
      <c r="G96">
        <v>30</v>
      </c>
    </row>
    <row r="97" spans="1:7" x14ac:dyDescent="0.25">
      <c r="A97" s="33" t="s">
        <v>125</v>
      </c>
      <c r="B97" s="33" t="s">
        <v>13</v>
      </c>
      <c r="C97" s="33" t="s">
        <v>122</v>
      </c>
      <c r="D97" s="33" t="s">
        <v>182</v>
      </c>
      <c r="E97" s="33" t="s">
        <v>5</v>
      </c>
      <c r="F97" s="33" t="s">
        <v>64</v>
      </c>
      <c r="G97">
        <v>70</v>
      </c>
    </row>
    <row r="98" spans="1:7" x14ac:dyDescent="0.25">
      <c r="A98" s="33" t="s">
        <v>168</v>
      </c>
      <c r="B98" s="33" t="s">
        <v>13</v>
      </c>
      <c r="C98" s="33" t="s">
        <v>122</v>
      </c>
      <c r="D98" s="33" t="s">
        <v>182</v>
      </c>
      <c r="E98" s="33" t="s">
        <v>192</v>
      </c>
      <c r="F98" s="33" t="s">
        <v>193</v>
      </c>
      <c r="G98">
        <v>3</v>
      </c>
    </row>
    <row r="99" spans="1:7" x14ac:dyDescent="0.25">
      <c r="A99" s="33" t="s">
        <v>169</v>
      </c>
      <c r="B99" s="33" t="s">
        <v>13</v>
      </c>
      <c r="C99" s="33" t="s">
        <v>122</v>
      </c>
      <c r="D99" s="33" t="s">
        <v>182</v>
      </c>
      <c r="E99" s="33" t="s">
        <v>192</v>
      </c>
      <c r="F99" s="33" t="s">
        <v>193</v>
      </c>
      <c r="G99">
        <v>10</v>
      </c>
    </row>
    <row r="100" spans="1:7" x14ac:dyDescent="0.25">
      <c r="A100" s="33" t="s">
        <v>170</v>
      </c>
      <c r="B100" s="33" t="s">
        <v>13</v>
      </c>
      <c r="C100" s="33" t="s">
        <v>122</v>
      </c>
      <c r="D100" s="33" t="s">
        <v>182</v>
      </c>
      <c r="E100" s="33" t="s">
        <v>192</v>
      </c>
      <c r="F100" s="33" t="s">
        <v>193</v>
      </c>
      <c r="G100">
        <v>30</v>
      </c>
    </row>
    <row r="101" spans="1:7" x14ac:dyDescent="0.25">
      <c r="A101" s="33" t="s">
        <v>171</v>
      </c>
      <c r="B101" s="33" t="s">
        <v>13</v>
      </c>
      <c r="C101" s="33" t="s">
        <v>122</v>
      </c>
      <c r="D101" s="33" t="s">
        <v>182</v>
      </c>
      <c r="E101" s="33" t="s">
        <v>192</v>
      </c>
      <c r="F101" s="33" t="s">
        <v>193</v>
      </c>
      <c r="G101">
        <v>70</v>
      </c>
    </row>
    <row r="104" spans="1:7" x14ac:dyDescent="0.25">
      <c r="E104" s="13"/>
    </row>
    <row r="105" spans="1:7" x14ac:dyDescent="0.25">
      <c r="E105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1B4A-DF4A-4210-9326-500191346A91}">
  <dimension ref="A1:C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1" sqref="B11"/>
    </sheetView>
  </sheetViews>
  <sheetFormatPr defaultRowHeight="15" x14ac:dyDescent="0.25"/>
  <cols>
    <col min="1" max="1" width="11.5703125" style="20" customWidth="1"/>
    <col min="2" max="2" width="75.5703125" style="23" customWidth="1"/>
    <col min="3" max="3" width="55.140625" style="23" customWidth="1"/>
  </cols>
  <sheetData>
    <row r="1" spans="1:3" x14ac:dyDescent="0.25">
      <c r="A1" s="19" t="s">
        <v>157</v>
      </c>
      <c r="B1" s="21" t="s">
        <v>150</v>
      </c>
      <c r="C1" s="21" t="s">
        <v>156</v>
      </c>
    </row>
    <row r="2" spans="1:3" x14ac:dyDescent="0.25">
      <c r="A2" s="25">
        <v>45854</v>
      </c>
      <c r="B2" s="22" t="s">
        <v>175</v>
      </c>
      <c r="C2" s="22" t="s">
        <v>159</v>
      </c>
    </row>
    <row r="3" spans="1:3" x14ac:dyDescent="0.25">
      <c r="A3" s="25">
        <v>45854</v>
      </c>
      <c r="B3" s="22" t="s">
        <v>176</v>
      </c>
      <c r="C3" s="22" t="s">
        <v>159</v>
      </c>
    </row>
    <row r="4" spans="1:3" x14ac:dyDescent="0.25">
      <c r="A4" s="20">
        <v>45854</v>
      </c>
      <c r="B4" s="22" t="s">
        <v>151</v>
      </c>
      <c r="C4" s="23" t="s">
        <v>172</v>
      </c>
    </row>
    <row r="5" spans="1:3" x14ac:dyDescent="0.25">
      <c r="A5" s="20">
        <v>45854</v>
      </c>
      <c r="B5" s="22" t="s">
        <v>152</v>
      </c>
      <c r="C5" s="23" t="s">
        <v>159</v>
      </c>
    </row>
    <row r="6" spans="1:3" ht="30" x14ac:dyDescent="0.25">
      <c r="A6" s="20">
        <v>45854</v>
      </c>
      <c r="B6" s="22" t="s">
        <v>153</v>
      </c>
      <c r="C6" s="22" t="s">
        <v>173</v>
      </c>
    </row>
    <row r="7" spans="1:3" ht="30" x14ac:dyDescent="0.25">
      <c r="A7" s="20">
        <v>45854</v>
      </c>
      <c r="B7" s="22" t="s">
        <v>154</v>
      </c>
      <c r="C7" s="22" t="s">
        <v>155</v>
      </c>
    </row>
    <row r="8" spans="1:3" ht="30" x14ac:dyDescent="0.25">
      <c r="A8" s="20">
        <v>45854</v>
      </c>
      <c r="B8" s="22" t="s">
        <v>158</v>
      </c>
      <c r="C8" s="22" t="s">
        <v>174</v>
      </c>
    </row>
    <row r="9" spans="1:3" x14ac:dyDescent="0.25">
      <c r="A9" s="20">
        <v>45858</v>
      </c>
      <c r="B9" s="23" t="s">
        <v>181</v>
      </c>
    </row>
    <row r="10" spans="1:3" x14ac:dyDescent="0.25">
      <c r="A10" s="20">
        <v>45897</v>
      </c>
      <c r="B10" s="23" t="s">
        <v>184</v>
      </c>
    </row>
    <row r="11" spans="1:3" x14ac:dyDescent="0.25">
      <c r="A11" s="20">
        <v>45897</v>
      </c>
      <c r="B11" s="23" t="s">
        <v>197</v>
      </c>
    </row>
    <row r="15" spans="1:3" x14ac:dyDescent="0.25">
      <c r="B15" s="22"/>
    </row>
    <row r="16" spans="1:3" x14ac:dyDescent="0.25">
      <c r="B16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1794FE30F74546A7BAAA25185F9DBE" ma:contentTypeVersion="12" ma:contentTypeDescription="Create a new document." ma:contentTypeScope="" ma:versionID="5856276068311084c06c8c0020704074">
  <xsd:schema xmlns:xsd="http://www.w3.org/2001/XMLSchema" xmlns:xs="http://www.w3.org/2001/XMLSchema" xmlns:p="http://schemas.microsoft.com/office/2006/metadata/properties" xmlns:ns2="301d987b-ee20-49d4-9bb3-84c769286854" targetNamespace="http://schemas.microsoft.com/office/2006/metadata/properties" ma:root="true" ma:fieldsID="2e05850e80bd49727ff6589cf564158d" ns2:_="">
    <xsd:import namespace="301d987b-ee20-49d4-9bb3-84c7692868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d987b-ee20-49d4-9bb3-84c7692868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d987b-ee20-49d4-9bb3-84c7692868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C49C4F-DB27-443A-8A3A-0B2DBF4C03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d987b-ee20-49d4-9bb3-84c7692868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A2324-0EF5-4730-B26F-74CD8692ED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26CA62-E66F-4A6F-AC7E-1596EB615132}">
  <ds:schemaRefs>
    <ds:schemaRef ds:uri="http://schemas.microsoft.com/office/2006/metadata/properties"/>
    <ds:schemaRef ds:uri="http://schemas.microsoft.com/office/infopath/2007/PartnerControls"/>
    <ds:schemaRef ds:uri="301d987b-ee20-49d4-9bb3-84c7692868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Oligo Bulk Input</vt:lpstr>
      <vt:lpstr>Pricing Sheet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Lam</dc:creator>
  <cp:lastModifiedBy>Dawn Lam</cp:lastModifiedBy>
  <dcterms:created xsi:type="dcterms:W3CDTF">2025-05-21T18:27:09Z</dcterms:created>
  <dcterms:modified xsi:type="dcterms:W3CDTF">2025-08-29T16:40:04Z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0x010100591794FE30F74546A7BAAA25185F9DBE</vt:lpwstr>
  </property>
  <property fmtid="{D5CDD505-2E9C-101B-9397-08002B2CF9AE}" pid="3" name="MediaServiceImageTags">
    <vt:lpwstr/>
  </property>
</Properties>
</file>